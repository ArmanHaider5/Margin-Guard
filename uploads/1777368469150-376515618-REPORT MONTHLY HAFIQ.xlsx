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FIQ\sales report\"/>
    </mc:Choice>
  </mc:AlternateContent>
  <xr:revisionPtr revIDLastSave="0" documentId="13_ncr:1_{32076219-2A73-4A80-87D6-AB1A0BC802BD}" xr6:coauthVersionLast="47" xr6:coauthVersionMax="47" xr10:uidLastSave="{00000000-0000-0000-0000-000000000000}"/>
  <bookViews>
    <workbookView xWindow="-120" yWindow="-120" windowWidth="24240" windowHeight="13140" xr2:uid="{A73ED0D5-198D-41A1-A1F4-580C8978E058}"/>
  </bookViews>
  <sheets>
    <sheet name="OCTOBER 2025" sheetId="12" r:id="rId1"/>
    <sheet name="NOVEMBER 2025" sheetId="13" r:id="rId2"/>
    <sheet name="DECEMBER 2025" sheetId="15" r:id="rId3"/>
    <sheet name="JANUARY 2026" sheetId="16" r:id="rId4"/>
    <sheet name="FEB 2026" sheetId="17" r:id="rId5"/>
    <sheet name="MARCH 2026" sheetId="1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8" l="1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7" i="18"/>
  <c r="I81" i="18"/>
  <c r="E87" i="18" s="1"/>
  <c r="G81" i="18"/>
  <c r="F81" i="18"/>
  <c r="E106" i="17"/>
  <c r="H106" i="17" s="1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7" i="17"/>
  <c r="F97" i="17"/>
  <c r="G97" i="17"/>
  <c r="I97" i="17"/>
  <c r="E103" i="17" s="1"/>
  <c r="E88" i="16"/>
  <c r="E91" i="16"/>
  <c r="I82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7" i="16"/>
  <c r="G82" i="16"/>
  <c r="F82" i="16"/>
  <c r="E127" i="15"/>
  <c r="H128" i="15"/>
  <c r="H118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7" i="15"/>
  <c r="G119" i="15"/>
  <c r="F119" i="15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7" i="13"/>
  <c r="H76" i="13"/>
  <c r="G67" i="13"/>
  <c r="F67" i="13"/>
  <c r="H67" i="13"/>
  <c r="E72" i="13" s="1"/>
  <c r="E75" i="13" s="1"/>
  <c r="G76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8" i="12"/>
  <c r="H7" i="12"/>
  <c r="H85" i="12"/>
  <c r="F76" i="12"/>
  <c r="H81" i="18" l="1"/>
  <c r="E86" i="18" s="1"/>
  <c r="H90" i="18" s="1"/>
  <c r="H97" i="17"/>
  <c r="E102" i="17" s="1"/>
  <c r="H107" i="17" s="1"/>
  <c r="H82" i="16"/>
  <c r="E87" i="16" s="1"/>
  <c r="H91" i="16" s="1"/>
  <c r="H92" i="16" s="1"/>
  <c r="H119" i="15"/>
  <c r="E124" i="15" s="1"/>
  <c r="H76" i="12"/>
  <c r="E81" i="12" s="1"/>
  <c r="E8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6" authorId="0" shapeId="0" xr:uid="{7E7A2C04-A57D-44F3-9504-1D9C2FD03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7" authorId="0" shapeId="0" xr:uid="{D47E9C13-6163-4A5F-A369-4F36006876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19" authorId="0" shapeId="0" xr:uid="{C8ECE724-CA5F-4A28-8731-61A9597148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2" authorId="0" shapeId="0" xr:uid="{CA973A3A-B3CE-419B-9F0B-11E8E55DD9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97" authorId="0" shapeId="0" xr:uid="{5238F093-53FE-49A8-B35C-9E043A8A65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1" authorId="0" shapeId="0" xr:uid="{E3E9E555-0F1F-4DCE-90F3-C97F3078F0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<sst xmlns="http://schemas.openxmlformats.org/spreadsheetml/2006/main" count="1607" uniqueCount="732">
  <si>
    <t>NO</t>
  </si>
  <si>
    <t>DATE</t>
  </si>
  <si>
    <t>CUSTOMER NAME</t>
  </si>
  <si>
    <t>DESCRIPTION</t>
  </si>
  <si>
    <t>TOTAL INV</t>
  </si>
  <si>
    <t>(-) REFUND</t>
  </si>
  <si>
    <t>NETT INV</t>
  </si>
  <si>
    <t>SEROJA BY KAYAN</t>
  </si>
  <si>
    <t>LANGAT CATERING</t>
  </si>
  <si>
    <t>LANGAT MEKAR SDN BHD</t>
  </si>
  <si>
    <t>ACHA RESTAURANT PLT</t>
  </si>
  <si>
    <t>DIMASJATI SDN BHD</t>
  </si>
  <si>
    <t>JILIYEVENT MANAGEMENT</t>
  </si>
  <si>
    <t>EMERALD SPIRIT SDN BHD</t>
  </si>
  <si>
    <t>SRI KANDAR ENTERPRISE</t>
  </si>
  <si>
    <t>TOTAL INVOICE</t>
  </si>
  <si>
    <t>(-) SUPPLIER</t>
  </si>
  <si>
    <t>(-) TARGET</t>
  </si>
  <si>
    <t>CIK SENAH KITCHEN</t>
  </si>
  <si>
    <t>HNF CATERING SDN BHD</t>
  </si>
  <si>
    <t>AZAM PANDAN SDN. BHD</t>
  </si>
  <si>
    <t>PUAN ADLINA AISYAH BINTI AZMI</t>
  </si>
  <si>
    <t>MCW EVENTS SDN. BHD.</t>
  </si>
  <si>
    <t>SAYANG EXPRESS CATERING</t>
  </si>
  <si>
    <t>PAVILION CATERING</t>
  </si>
  <si>
    <t>DESATERA SDN BHD (BANGI)</t>
  </si>
  <si>
    <t>SCHREIM BRAZEE ENTEPRISE</t>
  </si>
  <si>
    <t>KATERING PENGKALAN SELERA SDN BHD</t>
  </si>
  <si>
    <t>TADIKA ALIMKIDS</t>
  </si>
  <si>
    <t>RUMPUN SELERA ENTERPRISE</t>
  </si>
  <si>
    <t>NHR UNITED RESOURCES</t>
  </si>
  <si>
    <t>MASTAR CATERING</t>
  </si>
  <si>
    <t>RND FOOD CHANNEL SDN BHD</t>
  </si>
  <si>
    <t>MAK TEH CORNER</t>
  </si>
  <si>
    <t>D'LAZAT CORNER</t>
  </si>
  <si>
    <t>PROJECT 4X SDN BHD</t>
  </si>
  <si>
    <t>PAKSU D UTARA</t>
  </si>
  <si>
    <t>BUNGA PANDAN SDN BHD</t>
  </si>
  <si>
    <t>ANGGUN BISTARI TRADING</t>
  </si>
  <si>
    <t>PERNIAGAAN PERMATA BAKTI</t>
  </si>
  <si>
    <t>FD ANAN ENTERPRISE</t>
  </si>
  <si>
    <t>SALES-RENT EQUIPMENT</t>
  </si>
  <si>
    <t>SALES-PURCHASE</t>
  </si>
  <si>
    <t>SALES - RENT EQUIPMENT</t>
  </si>
  <si>
    <t>MZ CATERING</t>
  </si>
  <si>
    <t>CITRA NUSANTARA SDN. BHD.</t>
  </si>
  <si>
    <t>NATS CATERING SDN BHD</t>
  </si>
  <si>
    <t>TOTAL CLAIM</t>
  </si>
  <si>
    <t>AJ AJIMAL CATERING</t>
  </si>
  <si>
    <t>KAFETARIA HAZNY</t>
  </si>
  <si>
    <t>RENAISSANCE KUALA LUMPUR HOTEL</t>
  </si>
  <si>
    <t>I WISH SDN BHD</t>
  </si>
  <si>
    <t>FALLAH ADDIN ENTERPRISE</t>
  </si>
  <si>
    <t>D YASMIN ENTERPRISE</t>
  </si>
  <si>
    <t>ZNI CATERING</t>
  </si>
  <si>
    <t>DAYANG CATERING ENTERPRISE SDN BHD</t>
  </si>
  <si>
    <t>FABRICATION</t>
  </si>
  <si>
    <t>M RIMBUN CATERING</t>
  </si>
  <si>
    <t>SOULJA EMPIRE</t>
  </si>
  <si>
    <t>D&amp;R LEGACY</t>
  </si>
  <si>
    <t>PIRING PUTEH ENTERPRISE</t>
  </si>
  <si>
    <t>EVENT PRO VENTURE</t>
  </si>
  <si>
    <t>TAYLOR'S UNIVERSITY SDN BHD</t>
  </si>
  <si>
    <t>SKS MAJU CATERER (NP)</t>
  </si>
  <si>
    <t>PUAN ROHAYAH ISMAIL</t>
  </si>
  <si>
    <t>ESPIRA KINRARA</t>
  </si>
  <si>
    <t>TROIS KL SDN BHD</t>
  </si>
  <si>
    <t>YITES STUDIO</t>
  </si>
  <si>
    <t>PUAN SHARNIHAN BT ISHAK</t>
  </si>
  <si>
    <t>HIZZUN CATERING</t>
  </si>
  <si>
    <t>FOOD GARDEN (THE MET) SDN BHD</t>
  </si>
  <si>
    <t>SURAU AL AMIN ALAM SARI</t>
  </si>
  <si>
    <t>AISHAH KASSIM ACADEMY</t>
  </si>
  <si>
    <t>MANISA CATERING</t>
  </si>
  <si>
    <t>MEGA BITES FOOD</t>
  </si>
  <si>
    <t>AZZURRO SDN BHD</t>
  </si>
  <si>
    <t>TOTAL  INVOICE</t>
  </si>
  <si>
    <t>NET INVOICE</t>
  </si>
  <si>
    <t>Prepared by</t>
  </si>
  <si>
    <t xml:space="preserve">Check by </t>
  </si>
  <si>
    <t>Approved by</t>
  </si>
  <si>
    <t>…............................</t>
  </si>
  <si>
    <t>….........................................</t>
  </si>
  <si>
    <t>….....................................</t>
  </si>
  <si>
    <t>En Arif Zaki</t>
  </si>
  <si>
    <t>En Harun b Abdul Hassan</t>
  </si>
  <si>
    <t>Hafiq Akmal</t>
  </si>
  <si>
    <t>SALES PERSON :HAFIQ AKMAL</t>
  </si>
  <si>
    <t>INVOICE</t>
  </si>
  <si>
    <t>DAPOOALIA</t>
  </si>
  <si>
    <t>MASJID TERAS JERNANG</t>
  </si>
  <si>
    <t>BELLAS BASKETT ENTERPRISE</t>
  </si>
  <si>
    <t>MAS AWANA SERVICES SDN BHD</t>
  </si>
  <si>
    <t>TELE-FLOW F&amp;B SDN BHD</t>
  </si>
  <si>
    <t>FATIHAH MAJU ENTERPRISE</t>
  </si>
  <si>
    <t>MAJOR TRANSGLOBAL SDN BHD</t>
  </si>
  <si>
    <t>PUAN ZETTI RAUDHAH CREHAN</t>
  </si>
  <si>
    <t>ARCHIVE TARGET</t>
  </si>
  <si>
    <t>EN FARHAN HAZIQ MOHAMED</t>
  </si>
  <si>
    <t>NGOMBAY CAFE</t>
  </si>
  <si>
    <t>NORZACK CATERING</t>
  </si>
  <si>
    <t>MILLENIUM RELEASE SDN BHD</t>
  </si>
  <si>
    <t>MOHD ARIF ZAKI B. CHE GHAZALI</t>
  </si>
  <si>
    <t>SALES-DOME</t>
  </si>
  <si>
    <t>CLAIM FORM SEPTEMBER 2025</t>
  </si>
  <si>
    <t>MZ FUTURE GLOBAL SDN BHD</t>
  </si>
  <si>
    <t>CITY LANDSCAPE GARDENS SDN BHD</t>
  </si>
  <si>
    <t>00011777</t>
  </si>
  <si>
    <t>00011793</t>
  </si>
  <si>
    <t>00011797</t>
  </si>
  <si>
    <t>00011757</t>
  </si>
  <si>
    <t>00011811</t>
  </si>
  <si>
    <t>00011808</t>
  </si>
  <si>
    <t>ZZ JAYA CATERING</t>
  </si>
  <si>
    <t>00011820</t>
  </si>
  <si>
    <t>00011835</t>
  </si>
  <si>
    <t>00011816</t>
  </si>
  <si>
    <t>00011831</t>
  </si>
  <si>
    <t>BORAOMBAK SDN BHD</t>
  </si>
  <si>
    <t>00011837</t>
  </si>
  <si>
    <t>00011839</t>
  </si>
  <si>
    <t>00011876</t>
  </si>
  <si>
    <t>MS EVENT VENTURES</t>
  </si>
  <si>
    <t>SALES - PURCHASE</t>
  </si>
  <si>
    <t>00011848</t>
  </si>
  <si>
    <t>ENCIK SAMRI DOLLAH</t>
  </si>
  <si>
    <t>00011878</t>
  </si>
  <si>
    <t>00011916</t>
  </si>
  <si>
    <t>00011859</t>
  </si>
  <si>
    <t>DESARU PEACE HOLDING CLUB SDN BHD</t>
  </si>
  <si>
    <t>00011869</t>
  </si>
  <si>
    <t>00011860</t>
  </si>
  <si>
    <t>00011940</t>
  </si>
  <si>
    <t>00011941</t>
  </si>
  <si>
    <t>00011849</t>
  </si>
  <si>
    <t>00011955</t>
  </si>
  <si>
    <t>00011964</t>
  </si>
  <si>
    <t>00011929</t>
  </si>
  <si>
    <t>EN KHAIRUL ANUAR AHMED</t>
  </si>
  <si>
    <t>00011943</t>
  </si>
  <si>
    <t>00011963</t>
  </si>
  <si>
    <t>00011988</t>
  </si>
  <si>
    <t>00011989</t>
  </si>
  <si>
    <t>00012003</t>
  </si>
  <si>
    <t>00012016</t>
  </si>
  <si>
    <t>00011979</t>
  </si>
  <si>
    <t>ZAMZURINA ZAMRIT</t>
  </si>
  <si>
    <t>00012057</t>
  </si>
  <si>
    <t>00012014</t>
  </si>
  <si>
    <t>00012058</t>
  </si>
  <si>
    <t>00012066</t>
  </si>
  <si>
    <t>EN ZAMBRI BIN JAMALADUIN</t>
  </si>
  <si>
    <t>00011902</t>
  </si>
  <si>
    <t>LUQMAN HAKIM BIN SAMSUDIN</t>
  </si>
  <si>
    <t>00011948</t>
  </si>
  <si>
    <t>00012024</t>
  </si>
  <si>
    <t>00012071</t>
  </si>
  <si>
    <t>00012072</t>
  </si>
  <si>
    <t>00012012</t>
  </si>
  <si>
    <t>00011936</t>
  </si>
  <si>
    <t>00012116</t>
  </si>
  <si>
    <t>00012117</t>
  </si>
  <si>
    <t>00012118</t>
  </si>
  <si>
    <t>00011875</t>
  </si>
  <si>
    <t>00011996</t>
  </si>
  <si>
    <t>00012106</t>
  </si>
  <si>
    <t>00012107</t>
  </si>
  <si>
    <t>00012123</t>
  </si>
  <si>
    <t>00012144</t>
  </si>
  <si>
    <t>00012146</t>
  </si>
  <si>
    <t>MM HOTELS SDN BHD, SWISS-GARDEN BEACH RESORT KUANTAN</t>
  </si>
  <si>
    <t>00012147</t>
  </si>
  <si>
    <t>00012101</t>
  </si>
  <si>
    <t>00012122</t>
  </si>
  <si>
    <t>00012019</t>
  </si>
  <si>
    <t>VIVATEL KUALA LUMPUR</t>
  </si>
  <si>
    <t>00012154</t>
  </si>
  <si>
    <t>00012155</t>
  </si>
  <si>
    <t>00012176</t>
  </si>
  <si>
    <t>00012180</t>
  </si>
  <si>
    <t>00012216</t>
  </si>
  <si>
    <t>ANS STATION ENTERPRISE</t>
  </si>
  <si>
    <t>00012115</t>
  </si>
  <si>
    <t>00012177</t>
  </si>
  <si>
    <t>00012191</t>
  </si>
  <si>
    <t>BIG SINGH CHAPATI</t>
  </si>
  <si>
    <t>00012239</t>
  </si>
  <si>
    <t>00012245</t>
  </si>
  <si>
    <t>00012246</t>
  </si>
  <si>
    <t>00012275</t>
  </si>
  <si>
    <t xml:space="preserve">EXTRA SALES TARGET
</t>
  </si>
  <si>
    <t>CLAIM FORM NOVEMBER 2025</t>
  </si>
  <si>
    <t>00012157</t>
  </si>
  <si>
    <t>SILANPOO CATERERS</t>
  </si>
  <si>
    <t>00012210</t>
  </si>
  <si>
    <t>00012371</t>
  </si>
  <si>
    <t>00012017</t>
  </si>
  <si>
    <t>00012278</t>
  </si>
  <si>
    <t>ARA ZAINAL WEDDING &amp; EVENT SDN BHD</t>
  </si>
  <si>
    <t>00012303</t>
  </si>
  <si>
    <t>00012377</t>
  </si>
  <si>
    <t>OTOSAN GOURMET ENTERPRISE</t>
  </si>
  <si>
    <t>00012271</t>
  </si>
  <si>
    <t>00011833</t>
  </si>
  <si>
    <t>ANJII MESS CATERERS</t>
  </si>
  <si>
    <t>00012296</t>
  </si>
  <si>
    <t>SAJIAN HATINIE EMPIRE</t>
  </si>
  <si>
    <t>00012370</t>
  </si>
  <si>
    <t>00012385</t>
  </si>
  <si>
    <t>CLIFFTOP JHOL SDN BHD</t>
  </si>
  <si>
    <t>00012410</t>
  </si>
  <si>
    <t>00012431</t>
  </si>
  <si>
    <t>00012433</t>
  </si>
  <si>
    <t>00012420</t>
  </si>
  <si>
    <t>AIRASIA X BERHAD</t>
  </si>
  <si>
    <t>00012423</t>
  </si>
  <si>
    <t>MORI MORY</t>
  </si>
  <si>
    <t>00012460</t>
  </si>
  <si>
    <t>00012364</t>
  </si>
  <si>
    <t>00012432</t>
  </si>
  <si>
    <t>00012187</t>
  </si>
  <si>
    <t>MEATECH TRANSMEDIA SDN BHD</t>
  </si>
  <si>
    <t>00012282</t>
  </si>
  <si>
    <t>00012345</t>
  </si>
  <si>
    <t>00012424</t>
  </si>
  <si>
    <t>00012427</t>
  </si>
  <si>
    <t>00012449</t>
  </si>
  <si>
    <t>00012462</t>
  </si>
  <si>
    <t>00012475</t>
  </si>
  <si>
    <t>00012487</t>
  </si>
  <si>
    <t>00012486</t>
  </si>
  <si>
    <t>DE BULUH CORNER</t>
  </si>
  <si>
    <t>00012502</t>
  </si>
  <si>
    <t>00012447</t>
  </si>
  <si>
    <t>00012505</t>
  </si>
  <si>
    <t>DATUK LOW</t>
  </si>
  <si>
    <t>00012511</t>
  </si>
  <si>
    <t>PETIT MOI HOLDING SDN BHD</t>
  </si>
  <si>
    <t>00012558</t>
  </si>
  <si>
    <t>00012507</t>
  </si>
  <si>
    <t>00012556</t>
  </si>
  <si>
    <t>00012566</t>
  </si>
  <si>
    <t>00012589</t>
  </si>
  <si>
    <t>00012382</t>
  </si>
  <si>
    <t>Quotation</t>
  </si>
  <si>
    <t>00012397</t>
  </si>
  <si>
    <t>00012527</t>
  </si>
  <si>
    <t>PTS ADVERTISING SDN BHD</t>
  </si>
  <si>
    <t>00012593</t>
  </si>
  <si>
    <t>00012396</t>
  </si>
  <si>
    <t>00012573</t>
  </si>
  <si>
    <t>AYRA AFEEYA KITCHEN</t>
  </si>
  <si>
    <t>00012575</t>
  </si>
  <si>
    <t>00012582</t>
  </si>
  <si>
    <t>COUPLE NEW VENTURES</t>
  </si>
  <si>
    <t>00012607</t>
  </si>
  <si>
    <t>00012614</t>
  </si>
  <si>
    <t>00012635</t>
  </si>
  <si>
    <t>00012648</t>
  </si>
  <si>
    <t>00012663</t>
  </si>
  <si>
    <t>00012476</t>
  </si>
  <si>
    <t>00012619</t>
  </si>
  <si>
    <t>CEMARA CATERING</t>
  </si>
  <si>
    <t>00012676</t>
  </si>
  <si>
    <t>DAPUR AROMA KITA</t>
  </si>
  <si>
    <t>00012684</t>
  </si>
  <si>
    <t>00012691</t>
  </si>
  <si>
    <t>CT ZAN CAFE</t>
  </si>
  <si>
    <t>00012695</t>
  </si>
  <si>
    <t>00012620</t>
  </si>
  <si>
    <t>00012731</t>
  </si>
  <si>
    <t>CLAIM FORM DECEMBER 2025</t>
  </si>
  <si>
    <t>00012705</t>
  </si>
  <si>
    <t>PUNCAK TEGAP SDN BHD</t>
  </si>
  <si>
    <t>00012708</t>
  </si>
  <si>
    <t>00012174</t>
  </si>
  <si>
    <t>00012743</t>
  </si>
  <si>
    <t>00012762</t>
  </si>
  <si>
    <t>00012700</t>
  </si>
  <si>
    <t>NZ FOOD PRODUCTS SDN BHD</t>
  </si>
  <si>
    <t>00012452</t>
  </si>
  <si>
    <t>ENAKKAN SDN BHD</t>
  </si>
  <si>
    <t>00012748</t>
  </si>
  <si>
    <t>00012749</t>
  </si>
  <si>
    <t>00012768</t>
  </si>
  <si>
    <t>00012777</t>
  </si>
  <si>
    <t>00012780</t>
  </si>
  <si>
    <t>00012781</t>
  </si>
  <si>
    <t>00012788</t>
  </si>
  <si>
    <t>00012790</t>
  </si>
  <si>
    <t>ABU TIRAI TENT &amp; SERVICES</t>
  </si>
  <si>
    <t>00012801</t>
  </si>
  <si>
    <t>00012760</t>
  </si>
  <si>
    <t>ANA KITCHEN &amp; CATERING</t>
  </si>
  <si>
    <t>00012794</t>
  </si>
  <si>
    <t>NUR ARIFAH BINTI SUFFIAN</t>
  </si>
  <si>
    <t>00012797</t>
  </si>
  <si>
    <t>KALLYANA RESOURCES</t>
  </si>
  <si>
    <t>00012798</t>
  </si>
  <si>
    <t>00012802</t>
  </si>
  <si>
    <t>00012806</t>
  </si>
  <si>
    <t>00012809</t>
  </si>
  <si>
    <t>VINH CITY ENTERPRISE</t>
  </si>
  <si>
    <t>00012814</t>
  </si>
  <si>
    <t>00012817</t>
  </si>
  <si>
    <t>00012826</t>
  </si>
  <si>
    <t>BERKAT KANOPI EVENT SDN BHD</t>
  </si>
  <si>
    <t>00011992</t>
  </si>
  <si>
    <t>TADIKA INTELEKTUAL SAUJANA</t>
  </si>
  <si>
    <t>00012746</t>
  </si>
  <si>
    <t>00012825</t>
  </si>
  <si>
    <t>00012828</t>
  </si>
  <si>
    <t>00012836</t>
  </si>
  <si>
    <t>QSR BRANDS (M) HOLDING BHD</t>
  </si>
  <si>
    <t>00012863</t>
  </si>
  <si>
    <t>VIRTIGO STUDIO SDN BHD</t>
  </si>
  <si>
    <t>00012719</t>
  </si>
  <si>
    <t>00012885</t>
  </si>
  <si>
    <t>00012906</t>
  </si>
  <si>
    <t>00012865</t>
  </si>
  <si>
    <t>00012929</t>
  </si>
  <si>
    <t>00012821</t>
  </si>
  <si>
    <t>DGRILL F &amp; B CATERING</t>
  </si>
  <si>
    <t>00012822</t>
  </si>
  <si>
    <t>00012844</t>
  </si>
  <si>
    <t>00012937</t>
  </si>
  <si>
    <t>IRAMA SIGNATURE IOI CITY</t>
  </si>
  <si>
    <t>00012711</t>
  </si>
  <si>
    <t>00012867</t>
  </si>
  <si>
    <t>00012893</t>
  </si>
  <si>
    <t>POK DE CATERING</t>
  </si>
  <si>
    <t>00012894</t>
  </si>
  <si>
    <t>00012923</t>
  </si>
  <si>
    <t>00012924</t>
  </si>
  <si>
    <t>00012931</t>
  </si>
  <si>
    <t>00012945</t>
  </si>
  <si>
    <t>00012948</t>
  </si>
  <si>
    <t>00012949</t>
  </si>
  <si>
    <t>00012868</t>
  </si>
  <si>
    <t>00012872</t>
  </si>
  <si>
    <t>00012936</t>
  </si>
  <si>
    <t>00012962</t>
  </si>
  <si>
    <t>00012954</t>
  </si>
  <si>
    <t>00012983</t>
  </si>
  <si>
    <t>00012938</t>
  </si>
  <si>
    <t>00012994</t>
  </si>
  <si>
    <t>00012995</t>
  </si>
  <si>
    <t>CIK AININ NAJIHAH BINTI MOHD HISHAM</t>
  </si>
  <si>
    <t>00012998</t>
  </si>
  <si>
    <t>00012869</t>
  </si>
  <si>
    <t>00012985</t>
  </si>
  <si>
    <t>00013010</t>
  </si>
  <si>
    <t>00013017</t>
  </si>
  <si>
    <t>00013021</t>
  </si>
  <si>
    <t>EXCAPT EVENT &amp; SERVICES</t>
  </si>
  <si>
    <t>00013023</t>
  </si>
  <si>
    <t>TUAN SULHASBI</t>
  </si>
  <si>
    <t>00012792</t>
  </si>
  <si>
    <t>SEKOLAH RENDAH ISLAM WARDAH ADDIN</t>
  </si>
  <si>
    <t>00013000</t>
  </si>
  <si>
    <t>00013030</t>
  </si>
  <si>
    <t>00013031</t>
  </si>
  <si>
    <t>SHRF FOOD INDUSTRIES SDN BHD</t>
  </si>
  <si>
    <t>00012951</t>
  </si>
  <si>
    <t>PUAN FAIZAH HASHIM</t>
  </si>
  <si>
    <t>00012957</t>
  </si>
  <si>
    <t>00013026</t>
  </si>
  <si>
    <t>00013037</t>
  </si>
  <si>
    <t>KERISSINAR ENTERPRISE</t>
  </si>
  <si>
    <t>00013038</t>
  </si>
  <si>
    <t>00013042</t>
  </si>
  <si>
    <t>00013045</t>
  </si>
  <si>
    <t>00013049</t>
  </si>
  <si>
    <t>00013054</t>
  </si>
  <si>
    <t>00013062</t>
  </si>
  <si>
    <t>KOLEJ IBU ZAIN</t>
  </si>
  <si>
    <t>00013009</t>
  </si>
  <si>
    <t>00013089</t>
  </si>
  <si>
    <t>00012984</t>
  </si>
  <si>
    <t>TUAN HAJI MUSA BIN HAJI MOHAMED</t>
  </si>
  <si>
    <t>00013083</t>
  </si>
  <si>
    <t>MISS ANGEL TURNER</t>
  </si>
  <si>
    <t>00013125</t>
  </si>
  <si>
    <t>00012626</t>
  </si>
  <si>
    <t>SYAZS IDAMAN CATERING</t>
  </si>
  <si>
    <t>00013116</t>
  </si>
  <si>
    <t>00011642</t>
  </si>
  <si>
    <t>MUHAMMAD ZURISMAN BIN ABD WAHAB</t>
  </si>
  <si>
    <t>00012704</t>
  </si>
  <si>
    <t>PUAN SHURAIZI BINTI ITAM</t>
  </si>
  <si>
    <t>00013136</t>
  </si>
  <si>
    <t>MY AKIKAH CATERING</t>
  </si>
  <si>
    <t>00013172</t>
  </si>
  <si>
    <t>00013145</t>
  </si>
  <si>
    <t>PUAN WAN ZURINA</t>
  </si>
  <si>
    <t>00013149</t>
  </si>
  <si>
    <t>NASI KANDAR EXPRESS</t>
  </si>
  <si>
    <t>00013153</t>
  </si>
  <si>
    <t>00012956</t>
  </si>
  <si>
    <t>TANJUNG PUTERI CATERING SERVICES</t>
  </si>
  <si>
    <t>00013096</t>
  </si>
  <si>
    <t>TUAN FR RAZDEAN</t>
  </si>
  <si>
    <t>00013157</t>
  </si>
  <si>
    <t>00013159</t>
  </si>
  <si>
    <t>HIDAYAH VISI ENTERPRISE</t>
  </si>
  <si>
    <t>00013162</t>
  </si>
  <si>
    <t>00013165</t>
  </si>
  <si>
    <t>00013166</t>
  </si>
  <si>
    <t>00013169</t>
  </si>
  <si>
    <t>00013173</t>
  </si>
  <si>
    <t>00013182</t>
  </si>
  <si>
    <t>00013188</t>
  </si>
  <si>
    <t>00012890</t>
  </si>
  <si>
    <t>CILI KAMPUNG RESTAURANT SDN BHD</t>
  </si>
  <si>
    <t>00012285</t>
  </si>
  <si>
    <t>SEKOLAH RENDAH ISLAM INTERGRASI KAJANG PERDANA</t>
  </si>
  <si>
    <t>00013022</t>
  </si>
  <si>
    <t>H&amp;F ENTERPRISE</t>
  </si>
  <si>
    <t>00013114</t>
  </si>
  <si>
    <t>LA SICRERIE SDN BHD</t>
  </si>
  <si>
    <t>00013033</t>
  </si>
  <si>
    <t>TANNED CAFE</t>
  </si>
  <si>
    <t>CLAIM FORM JANUARY 2026</t>
  </si>
  <si>
    <t>00013227</t>
  </si>
  <si>
    <t>00013168</t>
  </si>
  <si>
    <t>00013244</t>
  </si>
  <si>
    <t>00013258</t>
  </si>
  <si>
    <t>00013260</t>
  </si>
  <si>
    <t>00013268</t>
  </si>
  <si>
    <t>00013229</t>
  </si>
  <si>
    <t>00013300</t>
  </si>
  <si>
    <t>00013333</t>
  </si>
  <si>
    <t>00013325</t>
  </si>
  <si>
    <t>00013346</t>
  </si>
  <si>
    <t>00013286</t>
  </si>
  <si>
    <t>MAFAR ACADEMY SDN. BHD.</t>
  </si>
  <si>
    <t>00013362</t>
  </si>
  <si>
    <t>MAJLIS PERBANDARAN KAJANG (MPKJ)</t>
  </si>
  <si>
    <t>00013324</t>
  </si>
  <si>
    <t>00013350</t>
  </si>
  <si>
    <t>00013422</t>
  </si>
  <si>
    <t>00013403</t>
  </si>
  <si>
    <t>DAL MUGHNI ENTERPRISE</t>
  </si>
  <si>
    <t>00013345</t>
  </si>
  <si>
    <t>00013434</t>
  </si>
  <si>
    <t>00013444</t>
  </si>
  <si>
    <t>00013428</t>
  </si>
  <si>
    <t>00013432</t>
  </si>
  <si>
    <t>00013387</t>
  </si>
  <si>
    <t>00013458</t>
  </si>
  <si>
    <t>00013460</t>
  </si>
  <si>
    <t>PINNACLE DREAM SDN BHD</t>
  </si>
  <si>
    <t>00013464</t>
  </si>
  <si>
    <t>00013478</t>
  </si>
  <si>
    <t>PERK IDEA SDN. BHD</t>
  </si>
  <si>
    <t>00013507</t>
  </si>
  <si>
    <t>00013513</t>
  </si>
  <si>
    <t>00013519</t>
  </si>
  <si>
    <t>00013521</t>
  </si>
  <si>
    <t>GAPURA HOSPITALITY SDN BHD</t>
  </si>
  <si>
    <t>00013520</t>
  </si>
  <si>
    <t>00013523</t>
  </si>
  <si>
    <t>00013527</t>
  </si>
  <si>
    <t>00013536</t>
  </si>
  <si>
    <t>00013538</t>
  </si>
  <si>
    <t>00013206</t>
  </si>
  <si>
    <t>00013466</t>
  </si>
  <si>
    <t>00013171</t>
  </si>
  <si>
    <t>PUAN FARIDAH OTHMAN</t>
  </si>
  <si>
    <t>00013239</t>
  </si>
  <si>
    <t>00013240</t>
  </si>
  <si>
    <t>FIVE SENSE ENTERPRISE SDN BHD</t>
  </si>
  <si>
    <t>00013209</t>
  </si>
  <si>
    <t>00013255</t>
  </si>
  <si>
    <t>00013272</t>
  </si>
  <si>
    <t>00013279</t>
  </si>
  <si>
    <t>00013273</t>
  </si>
  <si>
    <t>00013246</t>
  </si>
  <si>
    <t>00013310</t>
  </si>
  <si>
    <t>00013088</t>
  </si>
  <si>
    <t>CS TEAM COWAY</t>
  </si>
  <si>
    <t>00013317</t>
  </si>
  <si>
    <t>00013426</t>
  </si>
  <si>
    <t>00013391</t>
  </si>
  <si>
    <t>00013472</t>
  </si>
  <si>
    <t>00013480</t>
  </si>
  <si>
    <t>00013481</t>
  </si>
  <si>
    <t>00013483</t>
  </si>
  <si>
    <t>UREKA</t>
  </si>
  <si>
    <t>00013348</t>
  </si>
  <si>
    <t>00013540</t>
  </si>
  <si>
    <t>FAMES MANAGEMENT SDN BHD</t>
  </si>
  <si>
    <t>00013217</t>
  </si>
  <si>
    <t>BIG BEAR FOODS &amp; SERVICES</t>
  </si>
  <si>
    <t>00013233</t>
  </si>
  <si>
    <t>00013199</t>
  </si>
  <si>
    <t>BOTTEGA MEDITERRANEA SDN BHD</t>
  </si>
  <si>
    <t>00013262</t>
  </si>
  <si>
    <t>00013231</t>
  </si>
  <si>
    <t>Y CAPITAL SDN BHD</t>
  </si>
  <si>
    <t>00013185</t>
  </si>
  <si>
    <t>MIDORIE MALAYSIA SDN BHD</t>
  </si>
  <si>
    <t>00013302</t>
  </si>
  <si>
    <t>00013285</t>
  </si>
  <si>
    <t>00013334</t>
  </si>
  <si>
    <t>JAN BERRY SDN BHD</t>
  </si>
  <si>
    <t>00013293</t>
  </si>
  <si>
    <t>00013418</t>
  </si>
  <si>
    <t>00013323</t>
  </si>
  <si>
    <t>00013443</t>
  </si>
  <si>
    <t>00013313</t>
  </si>
  <si>
    <t>SOOFEAST KITCHEN</t>
  </si>
  <si>
    <t>00013421</t>
  </si>
  <si>
    <t>00013201</t>
  </si>
  <si>
    <t>CEMERLANG TERAJU SDN BHD</t>
  </si>
  <si>
    <t>00013559</t>
  </si>
  <si>
    <t>SST 6%</t>
  </si>
  <si>
    <t>(-)SST 6%</t>
  </si>
  <si>
    <t>EN. AMIR</t>
  </si>
  <si>
    <t>00013547</t>
  </si>
  <si>
    <t>00013555</t>
  </si>
  <si>
    <t>00013563</t>
  </si>
  <si>
    <t>TAMARIND RESTAURANTS SDN BHD</t>
  </si>
  <si>
    <t>00013565</t>
  </si>
  <si>
    <t>00013518</t>
  </si>
  <si>
    <t>YES EVENTS AND BRANDING SDN BHD</t>
  </si>
  <si>
    <t>00013532</t>
  </si>
  <si>
    <t>00013572</t>
  </si>
  <si>
    <t>00013493</t>
  </si>
  <si>
    <t>CIK RIFHAN LIYANA BINTI RAZALI</t>
  </si>
  <si>
    <t>00013554</t>
  </si>
  <si>
    <t>BRU &amp; MASE SDN. BHD.</t>
  </si>
  <si>
    <t>00013574</t>
  </si>
  <si>
    <t>00013595</t>
  </si>
  <si>
    <t>PIXEL BLOCK SOLUTION</t>
  </si>
  <si>
    <t>00013597</t>
  </si>
  <si>
    <t>00013529</t>
  </si>
  <si>
    <t>00013543</t>
  </si>
  <si>
    <t>00013596</t>
  </si>
  <si>
    <t>WHITEORCHID COUTURE SDN BHD</t>
  </si>
  <si>
    <t>00013613</t>
  </si>
  <si>
    <t>00012799</t>
  </si>
  <si>
    <t>00013384</t>
  </si>
  <si>
    <t>BASF ASIA PACIFIC SERVICE CENTRE SDN BHD</t>
  </si>
  <si>
    <t>00013577</t>
  </si>
  <si>
    <t>00013615</t>
  </si>
  <si>
    <t>00013632</t>
  </si>
  <si>
    <t>00013634</t>
  </si>
  <si>
    <t>SISSTAR F&amp;B ENTERPRISE</t>
  </si>
  <si>
    <t>00013640</t>
  </si>
  <si>
    <t>00013423</t>
  </si>
  <si>
    <t>ETIKA SDN BHD</t>
  </si>
  <si>
    <t>00013534</t>
  </si>
  <si>
    <t>00013573</t>
  </si>
  <si>
    <t>00013608</t>
  </si>
  <si>
    <t>00013609</t>
  </si>
  <si>
    <t>00013653</t>
  </si>
  <si>
    <t>APOSTO  SDN. BHD.</t>
  </si>
  <si>
    <t>00013654</t>
  </si>
  <si>
    <t>00013263</t>
  </si>
  <si>
    <t>KANTIN MATIN SDN BHD</t>
  </si>
  <si>
    <t>00013612</t>
  </si>
  <si>
    <t>00013642</t>
  </si>
  <si>
    <t>00013652</t>
  </si>
  <si>
    <t>00013655</t>
  </si>
  <si>
    <t>NILAI SPRINGS RESORT SDN BHD</t>
  </si>
  <si>
    <t>00013658</t>
  </si>
  <si>
    <t>PEPPER LABS SDN BHD</t>
  </si>
  <si>
    <t>00013677</t>
  </si>
  <si>
    <t>00013687</t>
  </si>
  <si>
    <t>00013703</t>
  </si>
  <si>
    <t>00013676</t>
  </si>
  <si>
    <t>00013709</t>
  </si>
  <si>
    <t>00013680</t>
  </si>
  <si>
    <t>00013723</t>
  </si>
  <si>
    <t>00013729</t>
  </si>
  <si>
    <t>LATAY SDN BHD</t>
  </si>
  <si>
    <t>00013530</t>
  </si>
  <si>
    <t>MELUR PUTIH DESIGN SDN BHD</t>
  </si>
  <si>
    <t>00013621</t>
  </si>
  <si>
    <t>PJA SOLUTION &amp; SERVICES</t>
  </si>
  <si>
    <t>00013663</t>
  </si>
  <si>
    <t>00013665</t>
  </si>
  <si>
    <t>00013717</t>
  </si>
  <si>
    <t>KAYA FOODIE SDN BHD</t>
  </si>
  <si>
    <t>00013731</t>
  </si>
  <si>
    <t>PUAN SURAYA HANIM</t>
  </si>
  <si>
    <t>00013742</t>
  </si>
  <si>
    <t>00013743</t>
  </si>
  <si>
    <t>00013756</t>
  </si>
  <si>
    <t>00013657</t>
  </si>
  <si>
    <t>NUR RAIHAN ABDUL RAHIM</t>
  </si>
  <si>
    <t>00013704</t>
  </si>
  <si>
    <t>00013749</t>
  </si>
  <si>
    <t>00013778</t>
  </si>
  <si>
    <t>00013781</t>
  </si>
  <si>
    <t>00013796</t>
  </si>
  <si>
    <t>00013777</t>
  </si>
  <si>
    <t>00013805</t>
  </si>
  <si>
    <t>00013810</t>
  </si>
  <si>
    <t>00013812</t>
  </si>
  <si>
    <t>HAJI DAHARI</t>
  </si>
  <si>
    <t>00013814</t>
  </si>
  <si>
    <t>00013819</t>
  </si>
  <si>
    <t>00013579</t>
  </si>
  <si>
    <t>00013656</t>
  </si>
  <si>
    <t>LIP KITCHEN SDN BHD</t>
  </si>
  <si>
    <t>00013822</t>
  </si>
  <si>
    <t>YAYASAN KELUARGA MALAYSIA</t>
  </si>
  <si>
    <t>00013823</t>
  </si>
  <si>
    <t>00013827</t>
  </si>
  <si>
    <t>NURUL ATIQAH</t>
  </si>
  <si>
    <t>00013802</t>
  </si>
  <si>
    <t>00013820</t>
  </si>
  <si>
    <t>00013821</t>
  </si>
  <si>
    <t>00013825</t>
  </si>
  <si>
    <t>00013834</t>
  </si>
  <si>
    <t>00013838</t>
  </si>
  <si>
    <t>00013872</t>
  </si>
  <si>
    <t>00013900</t>
  </si>
  <si>
    <t>00013575</t>
  </si>
  <si>
    <t>00013740</t>
  </si>
  <si>
    <t>MRS. SHIRLEY SELVI A/P SAVARIMUTHU</t>
  </si>
  <si>
    <t>00013813</t>
  </si>
  <si>
    <t>00013863</t>
  </si>
  <si>
    <t>00013867</t>
  </si>
  <si>
    <t>00013877</t>
  </si>
  <si>
    <t>00013891</t>
  </si>
  <si>
    <t>00013904</t>
  </si>
  <si>
    <t>00013914</t>
  </si>
  <si>
    <t>00013699</t>
  </si>
  <si>
    <t>00013808</t>
  </si>
  <si>
    <t>00013870</t>
  </si>
  <si>
    <t>(-) SUPPLIER(JILLY)</t>
  </si>
  <si>
    <t>CLAIM FORM FEBRUARY 2026</t>
  </si>
  <si>
    <t>HAFIQ AKMAL</t>
  </si>
  <si>
    <t>EXTRA SALES TARGET
1%</t>
  </si>
  <si>
    <t>00013908</t>
  </si>
  <si>
    <t>00013921</t>
  </si>
  <si>
    <t>00013922</t>
  </si>
  <si>
    <t>MR TAN CHAN KHIN</t>
  </si>
  <si>
    <t>00013890</t>
  </si>
  <si>
    <t>BSG EXCEL F&amp;B HALLMARK SDN BHD</t>
  </si>
  <si>
    <t>00013915</t>
  </si>
  <si>
    <t>00013926</t>
  </si>
  <si>
    <t>00013927</t>
  </si>
  <si>
    <t>00013923</t>
  </si>
  <si>
    <t>00013929</t>
  </si>
  <si>
    <t>PERSATUAN PEGAWAI RENDAH POLIS DIRAJA MALAYSIA</t>
  </si>
  <si>
    <t>00013961</t>
  </si>
  <si>
    <t>00013868</t>
  </si>
  <si>
    <t>00013969</t>
  </si>
  <si>
    <t>00013976</t>
  </si>
  <si>
    <t>00013987</t>
  </si>
  <si>
    <t>00013949</t>
  </si>
  <si>
    <t>00013956</t>
  </si>
  <si>
    <t>00013994</t>
  </si>
  <si>
    <t>00013997</t>
  </si>
  <si>
    <t>00013864</t>
  </si>
  <si>
    <t>00013869</t>
  </si>
  <si>
    <t>ENCIK MUHAIMIM BIN MOHD MOKSEN</t>
  </si>
  <si>
    <t>00013889</t>
  </si>
  <si>
    <t>WONG SAI KIT</t>
  </si>
  <si>
    <t>00013971</t>
  </si>
  <si>
    <t>PUAN SALIMAH</t>
  </si>
  <si>
    <t>00013992</t>
  </si>
  <si>
    <t>00014003</t>
  </si>
  <si>
    <t>00014013</t>
  </si>
  <si>
    <t>00014014</t>
  </si>
  <si>
    <t>00013947</t>
  </si>
  <si>
    <t>00013960</t>
  </si>
  <si>
    <t>00014030</t>
  </si>
  <si>
    <t>00013970</t>
  </si>
  <si>
    <t>00014021</t>
  </si>
  <si>
    <t>00013957</t>
  </si>
  <si>
    <t>00014024</t>
  </si>
  <si>
    <t>00014028</t>
  </si>
  <si>
    <t>00014031</t>
  </si>
  <si>
    <t>00014045</t>
  </si>
  <si>
    <t>00014047</t>
  </si>
  <si>
    <t>00013999</t>
  </si>
  <si>
    <t>00014004</t>
  </si>
  <si>
    <t>00013981</t>
  </si>
  <si>
    <t>00013938</t>
  </si>
  <si>
    <t>00013959</t>
  </si>
  <si>
    <t>WIRA SAJI CATERING</t>
  </si>
  <si>
    <t>00013974</t>
  </si>
  <si>
    <t>MISS KALPANA</t>
  </si>
  <si>
    <t>00013983</t>
  </si>
  <si>
    <t>00014075</t>
  </si>
  <si>
    <t>00014114</t>
  </si>
  <si>
    <t>LIN SWANDEE SIGNATURE</t>
  </si>
  <si>
    <t>00014132</t>
  </si>
  <si>
    <t>00014050</t>
  </si>
  <si>
    <t>00014133</t>
  </si>
  <si>
    <t>00014141</t>
  </si>
  <si>
    <t>00014142</t>
  </si>
  <si>
    <t>00014161</t>
  </si>
  <si>
    <t>00014115</t>
  </si>
  <si>
    <t>SALAI LEGACY  S/B</t>
  </si>
  <si>
    <t>00014005</t>
  </si>
  <si>
    <t>00014169</t>
  </si>
  <si>
    <t>DUTCH LADY @ MILK INDUSTRIES BERHAD</t>
  </si>
  <si>
    <t>00014023</t>
  </si>
  <si>
    <t>HANIDA CATERING ENTERPROSE</t>
  </si>
  <si>
    <t>00014192</t>
  </si>
  <si>
    <t>TUAN NAZRAD NAZIM</t>
  </si>
  <si>
    <t>00014197</t>
  </si>
  <si>
    <t>DPUCUK MANIS</t>
  </si>
  <si>
    <t>00014202</t>
  </si>
  <si>
    <t>00014218</t>
  </si>
  <si>
    <t>TUAN BADRUL HISHAM BIN ABDUL HAMID</t>
  </si>
  <si>
    <t>00014224</t>
  </si>
  <si>
    <t>BERKAT KAMI, INFORNO BAKERY</t>
  </si>
  <si>
    <t>00014225</t>
  </si>
  <si>
    <t>BRIG. JENERAL DATO HAJI YUSRI</t>
  </si>
  <si>
    <t>00014229</t>
  </si>
  <si>
    <t>ENCIK MUHAMAD NAIM</t>
  </si>
  <si>
    <t>00014006</t>
  </si>
  <si>
    <t>00014171</t>
  </si>
  <si>
    <t>00014198</t>
  </si>
  <si>
    <t>THE PUYUH CATERING</t>
  </si>
  <si>
    <t>00014233</t>
  </si>
  <si>
    <t>ENCIK FEDILEH HASHIM</t>
  </si>
  <si>
    <t>00014238</t>
  </si>
  <si>
    <t>00014242</t>
  </si>
  <si>
    <t>00014203</t>
  </si>
  <si>
    <t>00014223</t>
  </si>
  <si>
    <t>00014256</t>
  </si>
  <si>
    <t>00014263</t>
  </si>
  <si>
    <t>00014327</t>
  </si>
  <si>
    <t>CLAIM FORM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</si>
</sst>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M&quot;* #,##0.00_-;\-&quot;RM&quot;* #,##0.00_-;_-&quot;RM&quot;* &quot;-&quot;??_-;_-@_-"/>
    <numFmt numFmtId="167" formatCode="dd/mm/yyyy"/>
    <numFmt numFmtId="168" formatCode="#,##0.00;\(#,##0.00\)"/>
    <numFmt numFmtId="169" formatCode="#\ &quot;Invoices&quot;"/>
    <numFmt numFmtId="170" formatCode="&quot;RM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9"/>
      <color rgb="FF000000"/>
      <name val="Segoe UI"/>
      <family val="2"/>
    </font>
    <font>
      <sz val="9"/>
      <color rgb="FF0E3D56"/>
      <name val="Segoe UI"/>
      <family val="2"/>
    </font>
    <font>
      <b/>
      <sz val="9"/>
      <color rgb="FF0E3D56"/>
      <name val="Segoe UI"/>
      <family val="2"/>
    </font>
    <font>
      <b/>
      <sz val="9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Segoe UI"/>
      <family val="2"/>
    </font>
    <font>
      <sz val="11"/>
      <color rgb="FFFF0000"/>
      <name val="Calibri"/>
      <family val="2"/>
      <scheme val="minor"/>
    </font>
    <font>
      <sz val="9"/>
      <color rgb="FF000000"/>
      <name val="Segoe UI"/>
      <charset val="1"/>
    </font>
    <font>
      <sz val="9"/>
      <name val="Segoe UI"/>
      <family val="2"/>
    </font>
    <font>
      <sz val="9"/>
      <color theme="1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9F7F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5FCFE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FCFE"/>
        <bgColor rgb="FFF5FCFE"/>
      </patternFill>
    </fill>
    <fill>
      <patternFill patternType="solid">
        <fgColor rgb="FFE9F7FC"/>
        <bgColor rgb="FFE9F7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indexed="64"/>
      </top>
      <bottom style="thin">
        <color indexed="64"/>
      </bottom>
      <diagonal/>
    </border>
    <border>
      <left/>
      <right style="thin">
        <color rgb="FFA0A0A0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167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68" fontId="3" fillId="2" borderId="1" xfId="0" applyNumberFormat="1" applyFont="1" applyFill="1" applyBorder="1" applyAlignment="1">
      <alignment horizontal="right" vertical="top" wrapText="1"/>
    </xf>
    <xf numFmtId="167" fontId="3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8" fontId="3" fillId="3" borderId="1" xfId="0" applyNumberFormat="1" applyFont="1" applyFill="1" applyBorder="1" applyAlignment="1">
      <alignment horizontal="righ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4" fontId="6" fillId="4" borderId="0" xfId="0" applyNumberFormat="1" applyFont="1" applyFill="1" applyAlignment="1">
      <alignment horizontal="center" vertical="top" wrapText="1"/>
    </xf>
    <xf numFmtId="169" fontId="4" fillId="2" borderId="0" xfId="0" applyNumberFormat="1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center" vertical="top" wrapText="1"/>
    </xf>
    <xf numFmtId="168" fontId="6" fillId="2" borderId="0" xfId="0" applyNumberFormat="1" applyFont="1" applyFill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168" fontId="6" fillId="2" borderId="6" xfId="0" applyNumberFormat="1" applyFont="1" applyFill="1" applyBorder="1" applyAlignment="1">
      <alignment horizontal="center" vertical="top" wrapText="1"/>
    </xf>
    <xf numFmtId="4" fontId="6" fillId="4" borderId="2" xfId="0" applyNumberFormat="1" applyFont="1" applyFill="1" applyBorder="1" applyAlignment="1">
      <alignment horizontal="center" vertical="top" wrapText="1"/>
    </xf>
    <xf numFmtId="169" fontId="5" fillId="2" borderId="5" xfId="0" applyNumberFormat="1" applyFont="1" applyFill="1" applyBorder="1" applyAlignment="1">
      <alignment horizontal="center" vertical="center" wrapText="1"/>
    </xf>
    <xf numFmtId="4" fontId="6" fillId="2" borderId="5" xfId="0" applyNumberFormat="1" applyFont="1" applyFill="1" applyBorder="1" applyAlignment="1">
      <alignment horizontal="center" vertical="top" wrapText="1"/>
    </xf>
    <xf numFmtId="168" fontId="3" fillId="2" borderId="1" xfId="0" applyNumberFormat="1" applyFont="1" applyFill="1" applyBorder="1" applyAlignment="1">
      <alignment horizontal="left" vertical="top" wrapText="1"/>
    </xf>
    <xf numFmtId="168" fontId="3" fillId="3" borderId="1" xfId="0" applyNumberFormat="1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169" fontId="5" fillId="2" borderId="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0" borderId="0" xfId="0" applyFont="1"/>
    <xf numFmtId="0" fontId="12" fillId="6" borderId="0" xfId="0" applyFont="1" applyFill="1"/>
    <xf numFmtId="170" fontId="12" fillId="6" borderId="0" xfId="0" applyNumberFormat="1" applyFont="1" applyFill="1"/>
    <xf numFmtId="170" fontId="11" fillId="0" borderId="0" xfId="0" applyNumberFormat="1" applyFont="1"/>
    <xf numFmtId="0" fontId="11" fillId="0" borderId="0" xfId="0" applyFont="1" applyAlignment="1">
      <alignment horizontal="center"/>
    </xf>
    <xf numFmtId="170" fontId="11" fillId="6" borderId="0" xfId="0" applyNumberFormat="1" applyFont="1" applyFill="1"/>
    <xf numFmtId="0" fontId="3" fillId="4" borderId="1" xfId="0" applyFont="1" applyFill="1" applyBorder="1" applyAlignment="1">
      <alignment horizontal="left" vertical="top" wrapText="1"/>
    </xf>
    <xf numFmtId="0" fontId="14" fillId="0" borderId="0" xfId="0" applyFont="1"/>
    <xf numFmtId="0" fontId="15" fillId="4" borderId="1" xfId="0" applyFont="1" applyFill="1" applyBorder="1" applyAlignment="1">
      <alignment horizontal="left" vertical="top" wrapText="1"/>
    </xf>
    <xf numFmtId="167" fontId="15" fillId="2" borderId="1" xfId="0" applyNumberFormat="1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168" fontId="15" fillId="2" borderId="1" xfId="0" applyNumberFormat="1" applyFont="1" applyFill="1" applyBorder="1" applyAlignment="1">
      <alignment horizontal="left" vertical="top" wrapText="1"/>
    </xf>
    <xf numFmtId="168" fontId="15" fillId="2" borderId="1" xfId="0" applyNumberFormat="1" applyFont="1" applyFill="1" applyBorder="1" applyAlignment="1">
      <alignment horizontal="right" vertical="top" wrapText="1"/>
    </xf>
    <xf numFmtId="167" fontId="15" fillId="3" borderId="1" xfId="0" applyNumberFormat="1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168" fontId="15" fillId="3" borderId="1" xfId="0" applyNumberFormat="1" applyFont="1" applyFill="1" applyBorder="1" applyAlignment="1">
      <alignment horizontal="left" vertical="top" wrapText="1"/>
    </xf>
    <xf numFmtId="168" fontId="15" fillId="3" borderId="1" xfId="0" applyNumberFormat="1" applyFont="1" applyFill="1" applyBorder="1" applyAlignment="1">
      <alignment horizontal="right" vertical="top" wrapText="1"/>
    </xf>
    <xf numFmtId="0" fontId="15" fillId="7" borderId="0" xfId="0" applyFont="1" applyFill="1" applyAlignment="1">
      <alignment horizontal="left" vertical="top" wrapText="1"/>
    </xf>
    <xf numFmtId="167" fontId="15" fillId="8" borderId="7" xfId="0" applyNumberFormat="1" applyFont="1" applyFill="1" applyBorder="1" applyAlignment="1">
      <alignment horizontal="left" vertical="top" wrapText="1"/>
    </xf>
    <xf numFmtId="0" fontId="15" fillId="8" borderId="7" xfId="0" applyFont="1" applyFill="1" applyBorder="1" applyAlignment="1">
      <alignment horizontal="left" vertical="top" wrapText="1"/>
    </xf>
    <xf numFmtId="168" fontId="15" fillId="8" borderId="7" xfId="0" applyNumberFormat="1" applyFont="1" applyFill="1" applyBorder="1" applyAlignment="1">
      <alignment horizontal="left" vertical="top" wrapText="1"/>
    </xf>
    <xf numFmtId="168" fontId="15" fillId="8" borderId="7" xfId="0" applyNumberFormat="1" applyFont="1" applyFill="1" applyBorder="1" applyAlignment="1">
      <alignment horizontal="right" vertical="top" wrapText="1"/>
    </xf>
    <xf numFmtId="167" fontId="15" fillId="9" borderId="7" xfId="0" applyNumberFormat="1" applyFont="1" applyFill="1" applyBorder="1" applyAlignment="1">
      <alignment horizontal="left" vertical="top" wrapText="1"/>
    </xf>
    <xf numFmtId="0" fontId="15" fillId="9" borderId="7" xfId="0" applyFont="1" applyFill="1" applyBorder="1" applyAlignment="1">
      <alignment horizontal="left" vertical="top" wrapText="1"/>
    </xf>
    <xf numFmtId="168" fontId="15" fillId="9" borderId="7" xfId="0" applyNumberFormat="1" applyFont="1" applyFill="1" applyBorder="1" applyAlignment="1">
      <alignment horizontal="left" vertical="top" wrapText="1"/>
    </xf>
    <xf numFmtId="168" fontId="15" fillId="9" borderId="7" xfId="0" applyNumberFormat="1" applyFont="1" applyFill="1" applyBorder="1" applyAlignment="1">
      <alignment horizontal="right" vertical="top" wrapText="1"/>
    </xf>
    <xf numFmtId="44" fontId="2" fillId="0" borderId="1" xfId="1" applyFont="1" applyFill="1" applyBorder="1" applyAlignment="1">
      <alignment horizontal="center" vertical="center" wrapText="1"/>
    </xf>
    <xf numFmtId="2" fontId="0" fillId="0" borderId="1" xfId="1" applyNumberFormat="1" applyFont="1" applyBorder="1"/>
    <xf numFmtId="2" fontId="14" fillId="0" borderId="1" xfId="1" applyNumberFormat="1" applyFont="1" applyBorder="1"/>
    <xf numFmtId="2" fontId="0" fillId="5" borderId="1" xfId="1" applyNumberFormat="1" applyFont="1" applyFill="1" applyBorder="1"/>
    <xf numFmtId="2" fontId="11" fillId="0" borderId="1" xfId="1" applyNumberFormat="1" applyFont="1" applyBorder="1" applyAlignment="1">
      <alignment horizontal="center" vertical="top"/>
    </xf>
    <xf numFmtId="2" fontId="16" fillId="5" borderId="1" xfId="0" applyNumberFormat="1" applyFont="1" applyFill="1" applyBorder="1" applyAlignment="1">
      <alignment horizontal="right" vertical="center" wrapText="1"/>
    </xf>
    <xf numFmtId="2" fontId="17" fillId="5" borderId="1" xfId="1" applyNumberFormat="1" applyFont="1" applyFill="1" applyBorder="1" applyAlignment="1">
      <alignment horizontal="right"/>
    </xf>
    <xf numFmtId="2" fontId="16" fillId="5" borderId="1" xfId="1" applyNumberFormat="1" applyFont="1" applyFill="1" applyBorder="1" applyAlignment="1">
      <alignment horizontal="right"/>
    </xf>
    <xf numFmtId="2" fontId="16" fillId="5" borderId="1" xfId="1" applyNumberFormat="1" applyFont="1" applyFill="1" applyBorder="1" applyAlignment="1">
      <alignment horizontal="right" vertical="center" wrapText="1"/>
    </xf>
    <xf numFmtId="2" fontId="18" fillId="5" borderId="1" xfId="0" applyNumberFormat="1" applyFont="1" applyFill="1" applyBorder="1" applyAlignment="1">
      <alignment horizontal="right" vertical="center" wrapText="1"/>
    </xf>
    <xf numFmtId="2" fontId="18" fillId="5" borderId="1" xfId="1" applyNumberFormat="1" applyFont="1" applyFill="1" applyBorder="1" applyAlignment="1">
      <alignment horizontal="right" vertical="center" wrapText="1"/>
    </xf>
    <xf numFmtId="2" fontId="19" fillId="5" borderId="1" xfId="1" applyNumberFormat="1" applyFont="1" applyFill="1" applyBorder="1" applyAlignment="1">
      <alignment horizontal="right"/>
    </xf>
    <xf numFmtId="2" fontId="18" fillId="5" borderId="1" xfId="1" applyNumberFormat="1" applyFont="1" applyFill="1" applyBorder="1" applyAlignment="1">
      <alignment horizontal="right"/>
    </xf>
    <xf numFmtId="0" fontId="13" fillId="0" borderId="0" xfId="0" applyFont="1" applyAlignment="1">
      <alignment horizontal="left" vertical="center"/>
    </xf>
    <xf numFmtId="0" fontId="11" fillId="6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11" fillId="0" borderId="0" xfId="0" applyFont="1" applyAlignment="1">
      <alignment horizontal="right" wrapText="1"/>
    </xf>
  </cellXfs>
  <cellStyles count="3">
    <cellStyle name="Currency" xfId="1" builtinId="4"/>
    <cellStyle name="Normal" xfId="0" builtinId="0"/>
    <cellStyle name="Normal 2" xfId="2" xr:uid="{DF803CBB-A52E-464E-AE01-8AE41315D6EB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2E38-A964-43D8-92CC-C7FD738E45D0}">
  <sheetPr>
    <pageSetUpPr fitToPage="1"/>
  </sheetPr>
  <dimension ref="A3:I92"/>
  <sheetViews>
    <sheetView tabSelected="1" topLeftCell="A64" zoomScaleNormal="100" zoomScaleSheetLayoutView="91" workbookViewId="0">
      <selection activeCell="A49" sqref="A49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</cols>
  <sheetData>
    <row r="3" spans="1:9" x14ac:dyDescent="0.25">
      <c r="A3" s="64" t="s">
        <v>104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9" x14ac:dyDescent="0.25">
      <c r="A7" s="42">
        <v>1</v>
      </c>
      <c r="B7" s="43">
        <v>45932</v>
      </c>
      <c r="C7" s="44" t="s">
        <v>107</v>
      </c>
      <c r="D7" s="44" t="s">
        <v>66</v>
      </c>
      <c r="E7" s="44" t="s">
        <v>41</v>
      </c>
      <c r="F7" s="45">
        <v>1039</v>
      </c>
      <c r="G7" s="46">
        <v>300</v>
      </c>
      <c r="H7" s="9">
        <f>F7-G7</f>
        <v>739</v>
      </c>
    </row>
    <row r="8" spans="1:9" x14ac:dyDescent="0.25">
      <c r="A8" s="42">
        <v>2</v>
      </c>
      <c r="B8" s="47">
        <v>45932</v>
      </c>
      <c r="C8" s="48" t="s">
        <v>108</v>
      </c>
      <c r="D8" s="48" t="s">
        <v>67</v>
      </c>
      <c r="E8" s="48" t="s">
        <v>41</v>
      </c>
      <c r="F8" s="49">
        <v>325</v>
      </c>
      <c r="G8" s="50">
        <v>200</v>
      </c>
      <c r="H8" s="9">
        <f>F8-G8</f>
        <v>125</v>
      </c>
    </row>
    <row r="9" spans="1:9" x14ac:dyDescent="0.25">
      <c r="A9" s="42">
        <v>3</v>
      </c>
      <c r="B9" s="43">
        <v>45932</v>
      </c>
      <c r="C9" s="44" t="s">
        <v>109</v>
      </c>
      <c r="D9" s="44" t="s">
        <v>59</v>
      </c>
      <c r="E9" s="44" t="s">
        <v>41</v>
      </c>
      <c r="F9" s="45">
        <v>25</v>
      </c>
      <c r="G9" s="46">
        <v>0</v>
      </c>
      <c r="H9" s="9">
        <f t="shared" ref="H9:H69" si="0">F9-G9</f>
        <v>25</v>
      </c>
    </row>
    <row r="10" spans="1:9" x14ac:dyDescent="0.25">
      <c r="A10" s="42">
        <v>4</v>
      </c>
      <c r="B10" s="47">
        <v>45933</v>
      </c>
      <c r="C10" s="48" t="s">
        <v>110</v>
      </c>
      <c r="D10" s="48" t="s">
        <v>100</v>
      </c>
      <c r="E10" s="48" t="s">
        <v>41</v>
      </c>
      <c r="F10" s="49">
        <v>570</v>
      </c>
      <c r="G10" s="50">
        <v>300</v>
      </c>
      <c r="H10" s="9">
        <f t="shared" si="0"/>
        <v>270</v>
      </c>
      <c r="I10" s="32"/>
    </row>
    <row r="11" spans="1:9" x14ac:dyDescent="0.25">
      <c r="A11" s="42">
        <v>5</v>
      </c>
      <c r="B11" s="43">
        <v>45934</v>
      </c>
      <c r="C11" s="44" t="s">
        <v>111</v>
      </c>
      <c r="D11" s="44" t="s">
        <v>13</v>
      </c>
      <c r="E11" s="44" t="s">
        <v>41</v>
      </c>
      <c r="F11" s="45">
        <v>960</v>
      </c>
      <c r="G11" s="46">
        <v>0</v>
      </c>
      <c r="H11" s="9">
        <f t="shared" si="0"/>
        <v>960</v>
      </c>
    </row>
    <row r="12" spans="1:9" x14ac:dyDescent="0.25">
      <c r="A12" s="42">
        <v>6</v>
      </c>
      <c r="B12" s="47">
        <v>45935</v>
      </c>
      <c r="C12" s="48" t="s">
        <v>112</v>
      </c>
      <c r="D12" s="48" t="s">
        <v>113</v>
      </c>
      <c r="E12" s="48" t="s">
        <v>41</v>
      </c>
      <c r="F12" s="49">
        <v>1724</v>
      </c>
      <c r="G12" s="50">
        <v>200</v>
      </c>
      <c r="H12" s="9">
        <f t="shared" si="0"/>
        <v>1524</v>
      </c>
    </row>
    <row r="13" spans="1:9" x14ac:dyDescent="0.25">
      <c r="A13" s="42">
        <v>7</v>
      </c>
      <c r="B13" s="43">
        <v>45935</v>
      </c>
      <c r="C13" s="44" t="s">
        <v>114</v>
      </c>
      <c r="D13" s="44" t="s">
        <v>29</v>
      </c>
      <c r="E13" s="44" t="s">
        <v>41</v>
      </c>
      <c r="F13" s="45">
        <v>1560</v>
      </c>
      <c r="G13" s="46">
        <v>0</v>
      </c>
      <c r="H13" s="9">
        <f t="shared" si="0"/>
        <v>1560</v>
      </c>
    </row>
    <row r="14" spans="1:9" x14ac:dyDescent="0.25">
      <c r="A14" s="42">
        <v>8</v>
      </c>
      <c r="B14" s="47">
        <v>45936</v>
      </c>
      <c r="C14" s="48" t="s">
        <v>115</v>
      </c>
      <c r="D14" s="48" t="s">
        <v>7</v>
      </c>
      <c r="E14" s="48" t="s">
        <v>41</v>
      </c>
      <c r="F14" s="49">
        <v>256</v>
      </c>
      <c r="G14" s="50">
        <v>200</v>
      </c>
      <c r="H14" s="9">
        <f t="shared" si="0"/>
        <v>56</v>
      </c>
    </row>
    <row r="15" spans="1:9" x14ac:dyDescent="0.25">
      <c r="A15" s="42">
        <v>9</v>
      </c>
      <c r="B15" s="43">
        <v>45937</v>
      </c>
      <c r="C15" s="44" t="s">
        <v>116</v>
      </c>
      <c r="D15" s="44" t="s">
        <v>57</v>
      </c>
      <c r="E15" s="44" t="s">
        <v>41</v>
      </c>
      <c r="F15" s="45">
        <v>350</v>
      </c>
      <c r="G15" s="46">
        <v>200</v>
      </c>
      <c r="H15" s="9">
        <f t="shared" si="0"/>
        <v>150</v>
      </c>
    </row>
    <row r="16" spans="1:9" x14ac:dyDescent="0.25">
      <c r="A16" s="42">
        <v>10</v>
      </c>
      <c r="B16" s="47">
        <v>45937</v>
      </c>
      <c r="C16" s="48" t="s">
        <v>117</v>
      </c>
      <c r="D16" s="48" t="s">
        <v>118</v>
      </c>
      <c r="E16" s="48" t="s">
        <v>41</v>
      </c>
      <c r="F16" s="49">
        <v>0</v>
      </c>
      <c r="G16" s="50">
        <v>0</v>
      </c>
      <c r="H16" s="9">
        <f t="shared" si="0"/>
        <v>0</v>
      </c>
    </row>
    <row r="17" spans="1:8" x14ac:dyDescent="0.25">
      <c r="A17" s="42">
        <v>11</v>
      </c>
      <c r="B17" s="43">
        <v>45937</v>
      </c>
      <c r="C17" s="44" t="s">
        <v>119</v>
      </c>
      <c r="D17" s="44" t="s">
        <v>106</v>
      </c>
      <c r="E17" s="44" t="s">
        <v>41</v>
      </c>
      <c r="F17" s="45">
        <v>505</v>
      </c>
      <c r="G17" s="46">
        <v>0</v>
      </c>
      <c r="H17" s="9">
        <f t="shared" si="0"/>
        <v>505</v>
      </c>
    </row>
    <row r="18" spans="1:8" x14ac:dyDescent="0.25">
      <c r="A18" s="42">
        <v>12</v>
      </c>
      <c r="B18" s="47">
        <v>45937</v>
      </c>
      <c r="C18" s="48" t="s">
        <v>120</v>
      </c>
      <c r="D18" s="48" t="s">
        <v>13</v>
      </c>
      <c r="E18" s="48" t="s">
        <v>41</v>
      </c>
      <c r="F18" s="49">
        <v>1030</v>
      </c>
      <c r="G18" s="50">
        <v>0</v>
      </c>
      <c r="H18" s="9">
        <f t="shared" si="0"/>
        <v>1030</v>
      </c>
    </row>
    <row r="19" spans="1:8" x14ac:dyDescent="0.25">
      <c r="A19" s="42">
        <v>13</v>
      </c>
      <c r="B19" s="43">
        <v>45937</v>
      </c>
      <c r="C19" s="44" t="s">
        <v>121</v>
      </c>
      <c r="D19" s="44" t="s">
        <v>122</v>
      </c>
      <c r="E19" s="44" t="s">
        <v>123</v>
      </c>
      <c r="F19" s="45">
        <v>50</v>
      </c>
      <c r="G19" s="46">
        <v>0</v>
      </c>
      <c r="H19" s="9">
        <f t="shared" si="0"/>
        <v>50</v>
      </c>
    </row>
    <row r="20" spans="1:8" x14ac:dyDescent="0.25">
      <c r="A20" s="42">
        <v>14</v>
      </c>
      <c r="B20" s="47">
        <v>45938</v>
      </c>
      <c r="C20" s="48" t="s">
        <v>124</v>
      </c>
      <c r="D20" s="48" t="s">
        <v>125</v>
      </c>
      <c r="E20" s="48" t="s">
        <v>41</v>
      </c>
      <c r="F20" s="49">
        <v>1975</v>
      </c>
      <c r="G20" s="50">
        <v>300</v>
      </c>
      <c r="H20" s="9">
        <f t="shared" si="0"/>
        <v>1675</v>
      </c>
    </row>
    <row r="21" spans="1:8" x14ac:dyDescent="0.25">
      <c r="A21" s="42">
        <v>15</v>
      </c>
      <c r="B21" s="43">
        <v>45938</v>
      </c>
      <c r="C21" s="44" t="s">
        <v>126</v>
      </c>
      <c r="D21" s="44" t="s">
        <v>33</v>
      </c>
      <c r="E21" s="44" t="s">
        <v>41</v>
      </c>
      <c r="F21" s="45">
        <v>1372</v>
      </c>
      <c r="G21" s="46">
        <v>200</v>
      </c>
      <c r="H21" s="9">
        <f t="shared" si="0"/>
        <v>1172</v>
      </c>
    </row>
    <row r="22" spans="1:8" x14ac:dyDescent="0.25">
      <c r="A22" s="42">
        <v>16</v>
      </c>
      <c r="B22" s="47">
        <v>45938</v>
      </c>
      <c r="C22" s="48" t="s">
        <v>127</v>
      </c>
      <c r="D22" s="48" t="s">
        <v>11</v>
      </c>
      <c r="E22" s="48" t="s">
        <v>41</v>
      </c>
      <c r="F22" s="49">
        <v>79</v>
      </c>
      <c r="G22" s="50">
        <v>0</v>
      </c>
      <c r="H22" s="9">
        <f t="shared" si="0"/>
        <v>79</v>
      </c>
    </row>
    <row r="23" spans="1:8" x14ac:dyDescent="0.25">
      <c r="A23" s="42">
        <v>17</v>
      </c>
      <c r="B23" s="43">
        <v>45939</v>
      </c>
      <c r="C23" s="44" t="s">
        <v>128</v>
      </c>
      <c r="D23" s="44" t="s">
        <v>129</v>
      </c>
      <c r="E23" s="44" t="s">
        <v>41</v>
      </c>
      <c r="F23" s="45">
        <v>3250</v>
      </c>
      <c r="G23" s="46">
        <v>300</v>
      </c>
      <c r="H23" s="9">
        <f t="shared" si="0"/>
        <v>2950</v>
      </c>
    </row>
    <row r="24" spans="1:8" x14ac:dyDescent="0.25">
      <c r="A24" s="42">
        <v>18</v>
      </c>
      <c r="B24" s="47">
        <v>45939</v>
      </c>
      <c r="C24" s="48" t="s">
        <v>130</v>
      </c>
      <c r="D24" s="48" t="s">
        <v>12</v>
      </c>
      <c r="E24" s="48" t="s">
        <v>41</v>
      </c>
      <c r="F24" s="49">
        <v>76.400000000000006</v>
      </c>
      <c r="G24" s="50">
        <v>0</v>
      </c>
      <c r="H24" s="9">
        <f t="shared" si="0"/>
        <v>76.400000000000006</v>
      </c>
    </row>
    <row r="25" spans="1:8" x14ac:dyDescent="0.25">
      <c r="A25" s="42">
        <v>19</v>
      </c>
      <c r="B25" s="43">
        <v>45940</v>
      </c>
      <c r="C25" s="44" t="s">
        <v>131</v>
      </c>
      <c r="D25" s="44" t="s">
        <v>9</v>
      </c>
      <c r="E25" s="44" t="s">
        <v>41</v>
      </c>
      <c r="F25" s="45">
        <v>520</v>
      </c>
      <c r="G25" s="46">
        <v>0</v>
      </c>
      <c r="H25" s="9">
        <f t="shared" si="0"/>
        <v>520</v>
      </c>
    </row>
    <row r="26" spans="1:8" x14ac:dyDescent="0.25">
      <c r="A26" s="42">
        <v>20</v>
      </c>
      <c r="B26" s="47">
        <v>45940</v>
      </c>
      <c r="C26" s="48" t="s">
        <v>132</v>
      </c>
      <c r="D26" s="48" t="s">
        <v>54</v>
      </c>
      <c r="E26" s="48" t="s">
        <v>41</v>
      </c>
      <c r="F26" s="49">
        <v>354.9</v>
      </c>
      <c r="G26" s="50">
        <v>200</v>
      </c>
      <c r="H26" s="9">
        <f t="shared" si="0"/>
        <v>154.89999999999998</v>
      </c>
    </row>
    <row r="27" spans="1:8" x14ac:dyDescent="0.25">
      <c r="A27" s="42">
        <v>21</v>
      </c>
      <c r="B27" s="43">
        <v>45940</v>
      </c>
      <c r="C27" s="44" t="s">
        <v>133</v>
      </c>
      <c r="D27" s="44" t="s">
        <v>26</v>
      </c>
      <c r="E27" s="44" t="s">
        <v>41</v>
      </c>
      <c r="F27" s="45">
        <v>750</v>
      </c>
      <c r="G27" s="46">
        <v>0</v>
      </c>
      <c r="H27" s="9">
        <f t="shared" si="0"/>
        <v>750</v>
      </c>
    </row>
    <row r="28" spans="1:8" x14ac:dyDescent="0.25">
      <c r="A28" s="42">
        <v>22</v>
      </c>
      <c r="B28" s="47">
        <v>45941</v>
      </c>
      <c r="C28" s="48" t="s">
        <v>134</v>
      </c>
      <c r="D28" s="48" t="s">
        <v>9</v>
      </c>
      <c r="E28" s="48" t="s">
        <v>41</v>
      </c>
      <c r="F28" s="49">
        <v>4400</v>
      </c>
      <c r="G28" s="50">
        <v>0</v>
      </c>
      <c r="H28" s="9">
        <f t="shared" si="0"/>
        <v>4400</v>
      </c>
    </row>
    <row r="29" spans="1:8" x14ac:dyDescent="0.25">
      <c r="A29" s="42">
        <v>23</v>
      </c>
      <c r="B29" s="43">
        <v>45941</v>
      </c>
      <c r="C29" s="44" t="s">
        <v>135</v>
      </c>
      <c r="D29" s="44" t="s">
        <v>59</v>
      </c>
      <c r="E29" s="44" t="s">
        <v>41</v>
      </c>
      <c r="F29" s="45">
        <v>145</v>
      </c>
      <c r="G29" s="46">
        <v>0</v>
      </c>
      <c r="H29" s="9">
        <f t="shared" si="0"/>
        <v>145</v>
      </c>
    </row>
    <row r="30" spans="1:8" x14ac:dyDescent="0.25">
      <c r="A30" s="42">
        <v>24</v>
      </c>
      <c r="B30" s="47">
        <v>45942</v>
      </c>
      <c r="C30" s="48" t="s">
        <v>136</v>
      </c>
      <c r="D30" s="48" t="s">
        <v>29</v>
      </c>
      <c r="E30" s="48" t="s">
        <v>103</v>
      </c>
      <c r="F30" s="49">
        <v>460</v>
      </c>
      <c r="G30" s="50">
        <v>0</v>
      </c>
      <c r="H30" s="9">
        <f t="shared" si="0"/>
        <v>460</v>
      </c>
    </row>
    <row r="31" spans="1:8" x14ac:dyDescent="0.25">
      <c r="A31" s="42">
        <v>25</v>
      </c>
      <c r="B31" s="43">
        <v>45943</v>
      </c>
      <c r="C31" s="44" t="s">
        <v>137</v>
      </c>
      <c r="D31" s="44" t="s">
        <v>138</v>
      </c>
      <c r="E31" s="44" t="s">
        <v>42</v>
      </c>
      <c r="F31" s="45">
        <v>7800</v>
      </c>
      <c r="G31" s="46">
        <v>0</v>
      </c>
      <c r="H31" s="9">
        <f t="shared" si="0"/>
        <v>7800</v>
      </c>
    </row>
    <row r="32" spans="1:8" x14ac:dyDescent="0.25">
      <c r="A32" s="42">
        <v>26</v>
      </c>
      <c r="B32" s="47">
        <v>45943</v>
      </c>
      <c r="C32" s="48" t="s">
        <v>139</v>
      </c>
      <c r="D32" s="48" t="s">
        <v>13</v>
      </c>
      <c r="E32" s="48" t="s">
        <v>41</v>
      </c>
      <c r="F32" s="49">
        <v>750</v>
      </c>
      <c r="G32" s="50">
        <v>0</v>
      </c>
      <c r="H32" s="9">
        <f t="shared" si="0"/>
        <v>750</v>
      </c>
    </row>
    <row r="33" spans="1:9" x14ac:dyDescent="0.25">
      <c r="A33" s="42">
        <v>27</v>
      </c>
      <c r="B33" s="43">
        <v>45943</v>
      </c>
      <c r="C33" s="44" t="s">
        <v>140</v>
      </c>
      <c r="D33" s="44" t="s">
        <v>29</v>
      </c>
      <c r="E33" s="44" t="s">
        <v>41</v>
      </c>
      <c r="F33" s="45">
        <v>400</v>
      </c>
      <c r="G33" s="46">
        <v>0</v>
      </c>
      <c r="H33" s="9">
        <f t="shared" si="0"/>
        <v>400</v>
      </c>
    </row>
    <row r="34" spans="1:9" x14ac:dyDescent="0.25">
      <c r="A34" s="42">
        <v>28</v>
      </c>
      <c r="B34" s="47">
        <v>45944</v>
      </c>
      <c r="C34" s="48" t="s">
        <v>141</v>
      </c>
      <c r="D34" s="48" t="s">
        <v>59</v>
      </c>
      <c r="E34" s="48" t="s">
        <v>41</v>
      </c>
      <c r="F34" s="49">
        <v>136</v>
      </c>
      <c r="G34" s="50">
        <v>0</v>
      </c>
      <c r="H34" s="9">
        <f t="shared" si="0"/>
        <v>136</v>
      </c>
      <c r="I34" s="32"/>
    </row>
    <row r="35" spans="1:9" x14ac:dyDescent="0.25">
      <c r="A35" s="42">
        <v>29</v>
      </c>
      <c r="B35" s="43">
        <v>45944</v>
      </c>
      <c r="C35" s="44" t="s">
        <v>142</v>
      </c>
      <c r="D35" s="44" t="s">
        <v>7</v>
      </c>
      <c r="E35" s="44" t="s">
        <v>41</v>
      </c>
      <c r="F35" s="45">
        <v>280.10000000000002</v>
      </c>
      <c r="G35" s="46">
        <v>200</v>
      </c>
      <c r="H35" s="9">
        <f t="shared" si="0"/>
        <v>80.100000000000023</v>
      </c>
    </row>
    <row r="36" spans="1:9" x14ac:dyDescent="0.25">
      <c r="A36" s="42">
        <v>30</v>
      </c>
      <c r="B36" s="47">
        <v>45945</v>
      </c>
      <c r="C36" s="48" t="s">
        <v>143</v>
      </c>
      <c r="D36" s="48" t="s">
        <v>96</v>
      </c>
      <c r="E36" s="48" t="s">
        <v>41</v>
      </c>
      <c r="F36" s="49">
        <v>0</v>
      </c>
      <c r="G36" s="50">
        <v>0</v>
      </c>
      <c r="H36" s="9">
        <f t="shared" si="0"/>
        <v>0</v>
      </c>
    </row>
    <row r="37" spans="1:9" x14ac:dyDescent="0.25">
      <c r="A37" s="42">
        <v>31</v>
      </c>
      <c r="B37" s="43">
        <v>45945</v>
      </c>
      <c r="C37" s="44" t="s">
        <v>144</v>
      </c>
      <c r="D37" s="44" t="s">
        <v>22</v>
      </c>
      <c r="E37" s="44" t="s">
        <v>41</v>
      </c>
      <c r="F37" s="45">
        <v>275</v>
      </c>
      <c r="G37" s="46">
        <v>0</v>
      </c>
      <c r="H37" s="9">
        <f t="shared" si="0"/>
        <v>275</v>
      </c>
    </row>
    <row r="38" spans="1:9" x14ac:dyDescent="0.25">
      <c r="A38" s="42">
        <v>32</v>
      </c>
      <c r="B38" s="47">
        <v>45946</v>
      </c>
      <c r="C38" s="48" t="s">
        <v>145</v>
      </c>
      <c r="D38" s="48" t="s">
        <v>146</v>
      </c>
      <c r="E38" s="48" t="s">
        <v>41</v>
      </c>
      <c r="F38" s="49">
        <v>346</v>
      </c>
      <c r="G38" s="50">
        <v>200</v>
      </c>
      <c r="H38" s="9">
        <f t="shared" si="0"/>
        <v>146</v>
      </c>
    </row>
    <row r="39" spans="1:9" x14ac:dyDescent="0.25">
      <c r="A39" s="42">
        <v>33</v>
      </c>
      <c r="B39" s="43">
        <v>45946</v>
      </c>
      <c r="C39" s="44" t="s">
        <v>147</v>
      </c>
      <c r="D39" s="44" t="s">
        <v>30</v>
      </c>
      <c r="E39" s="44" t="s">
        <v>41</v>
      </c>
      <c r="F39" s="45">
        <v>262</v>
      </c>
      <c r="G39" s="46">
        <v>100</v>
      </c>
      <c r="H39" s="9">
        <f t="shared" si="0"/>
        <v>162</v>
      </c>
    </row>
    <row r="40" spans="1:9" x14ac:dyDescent="0.25">
      <c r="A40" s="42">
        <v>34</v>
      </c>
      <c r="B40" s="47">
        <v>45947</v>
      </c>
      <c r="C40" s="48" t="s">
        <v>148</v>
      </c>
      <c r="D40" s="48" t="s">
        <v>22</v>
      </c>
      <c r="E40" s="48" t="s">
        <v>41</v>
      </c>
      <c r="F40" s="49">
        <v>1409</v>
      </c>
      <c r="G40" s="50">
        <v>0</v>
      </c>
      <c r="H40" s="9">
        <f t="shared" si="0"/>
        <v>1409</v>
      </c>
    </row>
    <row r="41" spans="1:9" x14ac:dyDescent="0.25">
      <c r="A41" s="42">
        <v>35</v>
      </c>
      <c r="B41" s="43">
        <v>45947</v>
      </c>
      <c r="C41" s="44" t="s">
        <v>149</v>
      </c>
      <c r="D41" s="44" t="s">
        <v>7</v>
      </c>
      <c r="E41" s="44" t="s">
        <v>41</v>
      </c>
      <c r="F41" s="45">
        <v>43.5</v>
      </c>
      <c r="G41" s="46">
        <v>0</v>
      </c>
      <c r="H41" s="9">
        <f t="shared" si="0"/>
        <v>43.5</v>
      </c>
    </row>
    <row r="42" spans="1:9" x14ac:dyDescent="0.25">
      <c r="A42" s="42">
        <v>36</v>
      </c>
      <c r="B42" s="47">
        <v>45947</v>
      </c>
      <c r="C42" s="48" t="s">
        <v>150</v>
      </c>
      <c r="D42" s="48" t="s">
        <v>151</v>
      </c>
      <c r="E42" s="48" t="s">
        <v>42</v>
      </c>
      <c r="F42" s="49">
        <v>125</v>
      </c>
      <c r="G42" s="50">
        <v>0</v>
      </c>
      <c r="H42" s="9">
        <f t="shared" si="0"/>
        <v>125</v>
      </c>
    </row>
    <row r="43" spans="1:9" x14ac:dyDescent="0.25">
      <c r="A43" s="42">
        <v>38</v>
      </c>
      <c r="B43" s="47">
        <v>45948</v>
      </c>
      <c r="C43" s="48" t="s">
        <v>152</v>
      </c>
      <c r="D43" s="48" t="s">
        <v>153</v>
      </c>
      <c r="E43" s="48" t="s">
        <v>41</v>
      </c>
      <c r="F43" s="49">
        <v>1050</v>
      </c>
      <c r="G43" s="50">
        <v>0</v>
      </c>
      <c r="H43" s="9">
        <f t="shared" si="0"/>
        <v>1050</v>
      </c>
    </row>
    <row r="44" spans="1:9" x14ac:dyDescent="0.25">
      <c r="A44" s="42">
        <v>39</v>
      </c>
      <c r="B44" s="43">
        <v>45948</v>
      </c>
      <c r="C44" s="44" t="s">
        <v>154</v>
      </c>
      <c r="D44" s="44" t="s">
        <v>53</v>
      </c>
      <c r="E44" s="44" t="s">
        <v>41</v>
      </c>
      <c r="F44" s="45">
        <v>585</v>
      </c>
      <c r="G44" s="46">
        <v>300</v>
      </c>
      <c r="H44" s="9">
        <f t="shared" si="0"/>
        <v>285</v>
      </c>
    </row>
    <row r="45" spans="1:9" x14ac:dyDescent="0.25">
      <c r="A45" s="42">
        <v>40</v>
      </c>
      <c r="B45" s="47">
        <v>45948</v>
      </c>
      <c r="C45" s="48" t="s">
        <v>155</v>
      </c>
      <c r="D45" s="48" t="s">
        <v>24</v>
      </c>
      <c r="E45" s="48" t="s">
        <v>41</v>
      </c>
      <c r="F45" s="49">
        <v>4425</v>
      </c>
      <c r="G45" s="50">
        <v>0</v>
      </c>
      <c r="H45" s="9">
        <f t="shared" si="0"/>
        <v>4425</v>
      </c>
    </row>
    <row r="46" spans="1:9" x14ac:dyDescent="0.25">
      <c r="A46" s="42">
        <v>41</v>
      </c>
      <c r="B46" s="43">
        <v>45950</v>
      </c>
      <c r="C46" s="44" t="s">
        <v>156</v>
      </c>
      <c r="D46" s="44" t="s">
        <v>12</v>
      </c>
      <c r="E46" s="44" t="s">
        <v>41</v>
      </c>
      <c r="F46" s="45">
        <v>5575</v>
      </c>
      <c r="G46" s="46">
        <v>0</v>
      </c>
      <c r="H46" s="9">
        <f t="shared" si="0"/>
        <v>5575</v>
      </c>
    </row>
    <row r="47" spans="1:9" x14ac:dyDescent="0.25">
      <c r="A47" s="42">
        <v>42</v>
      </c>
      <c r="B47" s="47">
        <v>45950</v>
      </c>
      <c r="C47" s="48" t="s">
        <v>157</v>
      </c>
      <c r="D47" s="48" t="s">
        <v>7</v>
      </c>
      <c r="E47" s="48" t="s">
        <v>41</v>
      </c>
      <c r="F47" s="49">
        <v>171.5</v>
      </c>
      <c r="G47" s="50">
        <v>0</v>
      </c>
      <c r="H47" s="9">
        <f t="shared" si="0"/>
        <v>171.5</v>
      </c>
    </row>
    <row r="48" spans="1:9" x14ac:dyDescent="0.25">
      <c r="A48" s="42">
        <v>44</v>
      </c>
      <c r="B48" s="47">
        <v>45952</v>
      </c>
      <c r="C48" s="48" t="s">
        <v>158</v>
      </c>
      <c r="D48" s="48" t="s">
        <v>39</v>
      </c>
      <c r="E48" s="48" t="s">
        <v>41</v>
      </c>
      <c r="F48" s="49">
        <v>3140</v>
      </c>
      <c r="G48" s="50">
        <v>0</v>
      </c>
      <c r="H48" s="9">
        <f t="shared" si="0"/>
        <v>3140</v>
      </c>
    </row>
    <row r="49" spans="1:9" x14ac:dyDescent="0.25">
      <c r="A49" s="42">
        <v>45</v>
      </c>
      <c r="B49" s="43">
        <v>45953</v>
      </c>
      <c r="C49" s="44" t="s">
        <v>159</v>
      </c>
      <c r="D49" s="44" t="s">
        <v>12</v>
      </c>
      <c r="E49" s="44" t="s">
        <v>41</v>
      </c>
      <c r="F49" s="45">
        <v>3403.4</v>
      </c>
      <c r="G49" s="46">
        <v>0</v>
      </c>
      <c r="H49" s="9">
        <f t="shared" si="0"/>
        <v>3403.4</v>
      </c>
    </row>
    <row r="50" spans="1:9" x14ac:dyDescent="0.25">
      <c r="A50" s="42">
        <v>46</v>
      </c>
      <c r="B50" s="47">
        <v>45953</v>
      </c>
      <c r="C50" s="48" t="s">
        <v>160</v>
      </c>
      <c r="D50" s="48" t="s">
        <v>29</v>
      </c>
      <c r="E50" s="48" t="s">
        <v>41</v>
      </c>
      <c r="F50" s="49">
        <v>500</v>
      </c>
      <c r="G50" s="50">
        <v>0</v>
      </c>
      <c r="H50" s="9">
        <f t="shared" si="0"/>
        <v>500</v>
      </c>
    </row>
    <row r="51" spans="1:9" x14ac:dyDescent="0.25">
      <c r="A51" s="42">
        <v>47</v>
      </c>
      <c r="B51" s="43">
        <v>45953</v>
      </c>
      <c r="C51" s="44" t="s">
        <v>161</v>
      </c>
      <c r="D51" s="44" t="s">
        <v>31</v>
      </c>
      <c r="E51" s="44" t="s">
        <v>41</v>
      </c>
      <c r="F51" s="45">
        <v>102</v>
      </c>
      <c r="G51" s="46">
        <v>0</v>
      </c>
      <c r="H51" s="9">
        <f t="shared" si="0"/>
        <v>102</v>
      </c>
    </row>
    <row r="52" spans="1:9" x14ac:dyDescent="0.25">
      <c r="A52" s="42">
        <v>48</v>
      </c>
      <c r="B52" s="47">
        <v>45953</v>
      </c>
      <c r="C52" s="48" t="s">
        <v>162</v>
      </c>
      <c r="D52" s="48" t="s">
        <v>67</v>
      </c>
      <c r="E52" s="48" t="s">
        <v>41</v>
      </c>
      <c r="F52" s="49">
        <v>350</v>
      </c>
      <c r="G52" s="50">
        <v>0</v>
      </c>
      <c r="H52" s="9">
        <f t="shared" si="0"/>
        <v>350</v>
      </c>
      <c r="I52" s="32"/>
    </row>
    <row r="53" spans="1:9" x14ac:dyDescent="0.25">
      <c r="A53" s="42">
        <v>49</v>
      </c>
      <c r="B53" s="43">
        <v>45954</v>
      </c>
      <c r="C53" s="44" t="s">
        <v>163</v>
      </c>
      <c r="D53" s="44" t="s">
        <v>122</v>
      </c>
      <c r="E53" s="44" t="s">
        <v>41</v>
      </c>
      <c r="F53" s="45">
        <v>618</v>
      </c>
      <c r="G53" s="46">
        <v>200</v>
      </c>
      <c r="H53" s="9">
        <f t="shared" si="0"/>
        <v>418</v>
      </c>
    </row>
    <row r="54" spans="1:9" x14ac:dyDescent="0.25">
      <c r="A54" s="42">
        <v>50</v>
      </c>
      <c r="B54" s="47">
        <v>45954</v>
      </c>
      <c r="C54" s="48" t="s">
        <v>164</v>
      </c>
      <c r="D54" s="48" t="s">
        <v>44</v>
      </c>
      <c r="E54" s="48" t="s">
        <v>41</v>
      </c>
      <c r="F54" s="49">
        <v>2120</v>
      </c>
      <c r="G54" s="50">
        <v>0</v>
      </c>
      <c r="H54" s="9">
        <f t="shared" si="0"/>
        <v>2120</v>
      </c>
    </row>
    <row r="55" spans="1:9" x14ac:dyDescent="0.25">
      <c r="A55" s="42">
        <v>51</v>
      </c>
      <c r="B55" s="43">
        <v>45954</v>
      </c>
      <c r="C55" s="44" t="s">
        <v>165</v>
      </c>
      <c r="D55" s="44" t="s">
        <v>20</v>
      </c>
      <c r="E55" s="44" t="s">
        <v>41</v>
      </c>
      <c r="F55" s="45">
        <v>2429</v>
      </c>
      <c r="G55" s="46">
        <v>0</v>
      </c>
      <c r="H55" s="9">
        <f t="shared" si="0"/>
        <v>2429</v>
      </c>
    </row>
    <row r="56" spans="1:9" x14ac:dyDescent="0.25">
      <c r="A56" s="42">
        <v>52</v>
      </c>
      <c r="B56" s="47">
        <v>45954</v>
      </c>
      <c r="C56" s="48" t="s">
        <v>166</v>
      </c>
      <c r="D56" s="48" t="s">
        <v>20</v>
      </c>
      <c r="E56" s="48" t="s">
        <v>41</v>
      </c>
      <c r="F56" s="49">
        <v>2089</v>
      </c>
      <c r="G56" s="50">
        <v>0</v>
      </c>
      <c r="H56" s="9">
        <f t="shared" si="0"/>
        <v>2089</v>
      </c>
    </row>
    <row r="57" spans="1:9" x14ac:dyDescent="0.25">
      <c r="A57" s="42">
        <v>53</v>
      </c>
      <c r="B57" s="43">
        <v>45954</v>
      </c>
      <c r="C57" s="44" t="s">
        <v>167</v>
      </c>
      <c r="D57" s="44" t="s">
        <v>36</v>
      </c>
      <c r="E57" s="44" t="s">
        <v>41</v>
      </c>
      <c r="F57" s="45">
        <v>2643</v>
      </c>
      <c r="G57" s="46">
        <v>0</v>
      </c>
      <c r="H57" s="9">
        <f t="shared" si="0"/>
        <v>2643</v>
      </c>
    </row>
    <row r="58" spans="1:9" x14ac:dyDescent="0.25">
      <c r="A58" s="42">
        <v>54</v>
      </c>
      <c r="B58" s="47">
        <v>45954</v>
      </c>
      <c r="C58" s="48" t="s">
        <v>168</v>
      </c>
      <c r="D58" s="48" t="s">
        <v>39</v>
      </c>
      <c r="E58" s="48" t="s">
        <v>41</v>
      </c>
      <c r="F58" s="49">
        <v>1300</v>
      </c>
      <c r="G58" s="50">
        <v>0</v>
      </c>
      <c r="H58" s="9">
        <f t="shared" si="0"/>
        <v>1300</v>
      </c>
    </row>
    <row r="59" spans="1:9" ht="24" x14ac:dyDescent="0.25">
      <c r="A59" s="42">
        <v>55</v>
      </c>
      <c r="B59" s="43">
        <v>45954</v>
      </c>
      <c r="C59" s="44" t="s">
        <v>169</v>
      </c>
      <c r="D59" s="44" t="s">
        <v>170</v>
      </c>
      <c r="E59" s="44" t="s">
        <v>41</v>
      </c>
      <c r="F59" s="45">
        <v>2480</v>
      </c>
      <c r="G59" s="46">
        <v>0</v>
      </c>
      <c r="H59" s="9">
        <f t="shared" si="0"/>
        <v>2480</v>
      </c>
    </row>
    <row r="60" spans="1:9" x14ac:dyDescent="0.25">
      <c r="A60" s="42">
        <v>56</v>
      </c>
      <c r="B60" s="47">
        <v>45954</v>
      </c>
      <c r="C60" s="48" t="s">
        <v>171</v>
      </c>
      <c r="D60" s="48" t="s">
        <v>49</v>
      </c>
      <c r="E60" s="48" t="s">
        <v>41</v>
      </c>
      <c r="F60" s="49">
        <v>30</v>
      </c>
      <c r="G60" s="50">
        <v>0</v>
      </c>
      <c r="H60" s="9">
        <f t="shared" si="0"/>
        <v>30</v>
      </c>
    </row>
    <row r="61" spans="1:9" x14ac:dyDescent="0.25">
      <c r="A61" s="42">
        <v>57</v>
      </c>
      <c r="B61" s="47">
        <v>45955</v>
      </c>
      <c r="C61" s="48" t="s">
        <v>172</v>
      </c>
      <c r="D61" s="48" t="s">
        <v>46</v>
      </c>
      <c r="E61" s="48" t="s">
        <v>41</v>
      </c>
      <c r="F61" s="49">
        <v>615</v>
      </c>
      <c r="G61" s="50">
        <v>0</v>
      </c>
      <c r="H61" s="9">
        <f t="shared" si="0"/>
        <v>615</v>
      </c>
    </row>
    <row r="62" spans="1:9" x14ac:dyDescent="0.25">
      <c r="A62" s="42">
        <v>58</v>
      </c>
      <c r="B62" s="43">
        <v>45955</v>
      </c>
      <c r="C62" s="44" t="s">
        <v>173</v>
      </c>
      <c r="D62" s="44" t="s">
        <v>63</v>
      </c>
      <c r="E62" s="44" t="s">
        <v>41</v>
      </c>
      <c r="F62" s="45">
        <v>963</v>
      </c>
      <c r="G62" s="46">
        <v>300</v>
      </c>
      <c r="H62" s="9">
        <f t="shared" si="0"/>
        <v>663</v>
      </c>
    </row>
    <row r="63" spans="1:9" x14ac:dyDescent="0.25">
      <c r="A63" s="42">
        <v>58</v>
      </c>
      <c r="B63" s="47">
        <v>45957</v>
      </c>
      <c r="C63" s="48" t="s">
        <v>174</v>
      </c>
      <c r="D63" s="48" t="s">
        <v>175</v>
      </c>
      <c r="E63" s="48" t="s">
        <v>41</v>
      </c>
      <c r="F63" s="49">
        <v>2660</v>
      </c>
      <c r="G63" s="50">
        <v>300</v>
      </c>
      <c r="H63" s="9">
        <f t="shared" si="0"/>
        <v>2360</v>
      </c>
    </row>
    <row r="64" spans="1:9" x14ac:dyDescent="0.25">
      <c r="A64" s="42">
        <v>59</v>
      </c>
      <c r="B64" s="43">
        <v>45957</v>
      </c>
      <c r="C64" s="44" t="s">
        <v>176</v>
      </c>
      <c r="D64" s="44" t="s">
        <v>175</v>
      </c>
      <c r="E64" s="44" t="s">
        <v>41</v>
      </c>
      <c r="F64" s="45">
        <v>380</v>
      </c>
      <c r="G64" s="46">
        <v>0</v>
      </c>
      <c r="H64" s="9">
        <f t="shared" si="0"/>
        <v>380</v>
      </c>
    </row>
    <row r="65" spans="1:9" x14ac:dyDescent="0.25">
      <c r="A65" s="42">
        <v>60</v>
      </c>
      <c r="B65" s="47">
        <v>45957</v>
      </c>
      <c r="C65" s="48" t="s">
        <v>177</v>
      </c>
      <c r="D65" s="48" t="s">
        <v>175</v>
      </c>
      <c r="E65" s="48" t="s">
        <v>41</v>
      </c>
      <c r="F65" s="49">
        <v>0</v>
      </c>
      <c r="G65" s="50">
        <v>0</v>
      </c>
      <c r="H65" s="9">
        <f t="shared" si="0"/>
        <v>0</v>
      </c>
    </row>
    <row r="66" spans="1:9" x14ac:dyDescent="0.25">
      <c r="A66" s="42">
        <v>61</v>
      </c>
      <c r="B66" s="43">
        <v>45957</v>
      </c>
      <c r="C66" s="44" t="s">
        <v>178</v>
      </c>
      <c r="D66" s="44" t="s">
        <v>59</v>
      </c>
      <c r="E66" s="44" t="s">
        <v>41</v>
      </c>
      <c r="F66" s="45">
        <v>129</v>
      </c>
      <c r="G66" s="46">
        <v>100</v>
      </c>
      <c r="H66" s="9">
        <f t="shared" si="0"/>
        <v>29</v>
      </c>
    </row>
    <row r="67" spans="1:9" x14ac:dyDescent="0.25">
      <c r="A67" s="42">
        <v>62</v>
      </c>
      <c r="B67" s="47">
        <v>45958</v>
      </c>
      <c r="C67" s="48" t="s">
        <v>179</v>
      </c>
      <c r="D67" s="48" t="s">
        <v>10</v>
      </c>
      <c r="E67" s="48" t="s">
        <v>41</v>
      </c>
      <c r="F67" s="49">
        <v>640</v>
      </c>
      <c r="G67" s="50">
        <v>300</v>
      </c>
      <c r="H67" s="9">
        <f t="shared" si="0"/>
        <v>340</v>
      </c>
    </row>
    <row r="68" spans="1:9" x14ac:dyDescent="0.25">
      <c r="A68" s="42">
        <v>63</v>
      </c>
      <c r="B68" s="43">
        <v>45959</v>
      </c>
      <c r="C68" s="44" t="s">
        <v>180</v>
      </c>
      <c r="D68" s="44" t="s">
        <v>181</v>
      </c>
      <c r="E68" s="44" t="s">
        <v>41</v>
      </c>
      <c r="F68" s="45">
        <v>643</v>
      </c>
      <c r="G68" s="46">
        <v>300</v>
      </c>
      <c r="H68" s="9">
        <f t="shared" si="0"/>
        <v>343</v>
      </c>
    </row>
    <row r="69" spans="1:9" x14ac:dyDescent="0.25">
      <c r="A69" s="42">
        <v>64</v>
      </c>
      <c r="B69" s="47">
        <v>45960</v>
      </c>
      <c r="C69" s="48" t="s">
        <v>182</v>
      </c>
      <c r="D69" s="48" t="s">
        <v>46</v>
      </c>
      <c r="E69" s="48" t="s">
        <v>41</v>
      </c>
      <c r="F69" s="49">
        <v>2215.1999999999998</v>
      </c>
      <c r="G69" s="50">
        <v>300</v>
      </c>
      <c r="H69" s="9">
        <f t="shared" si="0"/>
        <v>1915.1999999999998</v>
      </c>
    </row>
    <row r="70" spans="1:9" x14ac:dyDescent="0.25">
      <c r="A70" s="42">
        <v>65</v>
      </c>
      <c r="B70" s="43">
        <v>45960</v>
      </c>
      <c r="C70" s="44" t="s">
        <v>183</v>
      </c>
      <c r="D70" s="44" t="s">
        <v>7</v>
      </c>
      <c r="E70" s="44" t="s">
        <v>41</v>
      </c>
      <c r="F70" s="45">
        <v>133</v>
      </c>
      <c r="G70" s="46">
        <v>100</v>
      </c>
      <c r="H70" s="9">
        <f t="shared" ref="H70:H75" si="1">F70-G70</f>
        <v>33</v>
      </c>
    </row>
    <row r="71" spans="1:9" x14ac:dyDescent="0.25">
      <c r="A71" s="42">
        <v>66</v>
      </c>
      <c r="B71" s="47">
        <v>45960</v>
      </c>
      <c r="C71" s="48" t="s">
        <v>184</v>
      </c>
      <c r="D71" s="48" t="s">
        <v>185</v>
      </c>
      <c r="E71" s="48" t="s">
        <v>41</v>
      </c>
      <c r="F71" s="49">
        <v>1100</v>
      </c>
      <c r="G71" s="50">
        <v>300</v>
      </c>
      <c r="H71" s="9">
        <f t="shared" si="1"/>
        <v>800</v>
      </c>
    </row>
    <row r="72" spans="1:9" ht="14.25" customHeight="1" x14ac:dyDescent="0.25">
      <c r="A72" s="42">
        <v>67</v>
      </c>
      <c r="B72" s="43">
        <v>45960</v>
      </c>
      <c r="C72" s="44" t="s">
        <v>186</v>
      </c>
      <c r="D72" s="44" t="s">
        <v>29</v>
      </c>
      <c r="E72" s="44" t="s">
        <v>41</v>
      </c>
      <c r="F72" s="45">
        <v>730</v>
      </c>
      <c r="G72" s="46">
        <v>0</v>
      </c>
      <c r="H72" s="9">
        <f t="shared" si="1"/>
        <v>730</v>
      </c>
      <c r="I72" s="32"/>
    </row>
    <row r="73" spans="1:9" x14ac:dyDescent="0.25">
      <c r="A73" s="42">
        <v>68</v>
      </c>
      <c r="B73" s="47">
        <v>45961</v>
      </c>
      <c r="C73" s="48" t="s">
        <v>187</v>
      </c>
      <c r="D73" s="48" t="s">
        <v>49</v>
      </c>
      <c r="E73" s="48" t="s">
        <v>41</v>
      </c>
      <c r="F73" s="49">
        <v>82.5</v>
      </c>
      <c r="G73" s="50">
        <v>0</v>
      </c>
      <c r="H73" s="9">
        <f t="shared" si="1"/>
        <v>82.5</v>
      </c>
    </row>
    <row r="74" spans="1:9" x14ac:dyDescent="0.25">
      <c r="A74" s="42">
        <v>69</v>
      </c>
      <c r="B74" s="43">
        <v>45961</v>
      </c>
      <c r="C74" s="44" t="s">
        <v>188</v>
      </c>
      <c r="D74" s="44" t="s">
        <v>20</v>
      </c>
      <c r="E74" s="44" t="s">
        <v>41</v>
      </c>
      <c r="F74" s="45">
        <v>0</v>
      </c>
      <c r="G74" s="46">
        <v>0</v>
      </c>
      <c r="H74" s="9">
        <f t="shared" si="1"/>
        <v>0</v>
      </c>
    </row>
    <row r="75" spans="1:9" x14ac:dyDescent="0.25">
      <c r="A75" s="42">
        <v>70</v>
      </c>
      <c r="B75" s="47">
        <v>45961</v>
      </c>
      <c r="C75" s="48" t="s">
        <v>189</v>
      </c>
      <c r="D75" s="48" t="s">
        <v>12</v>
      </c>
      <c r="E75" s="48" t="s">
        <v>41</v>
      </c>
      <c r="F75" s="49">
        <v>600</v>
      </c>
      <c r="G75" s="50">
        <v>0</v>
      </c>
      <c r="H75" s="9">
        <f t="shared" si="1"/>
        <v>600</v>
      </c>
    </row>
    <row r="76" spans="1:9" ht="21" x14ac:dyDescent="0.25">
      <c r="A76" s="22" t="s">
        <v>15</v>
      </c>
      <c r="B76" s="18">
        <v>72</v>
      </c>
      <c r="C76" s="23"/>
      <c r="D76" s="15"/>
      <c r="E76" s="15"/>
      <c r="F76" s="19">
        <f>SUM(F7:F75)</f>
        <v>77504.499999999985</v>
      </c>
      <c r="G76" s="16">
        <f>SUM(G7:G75)</f>
        <v>5400</v>
      </c>
      <c r="H76" s="17">
        <f>SUM(H7:H75)</f>
        <v>72104.499999999985</v>
      </c>
    </row>
    <row r="77" spans="1:9" ht="8.25" customHeight="1" x14ac:dyDescent="0.25">
      <c r="A77" s="2"/>
      <c r="B77" s="11"/>
      <c r="C77" s="11"/>
      <c r="D77" s="12"/>
      <c r="E77" s="12"/>
      <c r="F77" s="13"/>
      <c r="G77" s="14"/>
      <c r="H77" s="10"/>
    </row>
    <row r="78" spans="1:9" hidden="1" x14ac:dyDescent="0.25">
      <c r="A78" s="2"/>
      <c r="B78" s="11"/>
      <c r="C78" s="11"/>
      <c r="D78" s="12"/>
      <c r="E78" s="12"/>
      <c r="F78" s="13"/>
      <c r="G78" s="14"/>
      <c r="H78" s="10"/>
    </row>
    <row r="79" spans="1:9" ht="11.25" customHeight="1" x14ac:dyDescent="0.25"/>
    <row r="81" spans="2:8" x14ac:dyDescent="0.25">
      <c r="D81" s="26" t="s">
        <v>76</v>
      </c>
      <c r="E81" s="27">
        <f>H76</f>
        <v>72104.499999999985</v>
      </c>
      <c r="F81" s="68" t="s">
        <v>97</v>
      </c>
      <c r="G81" s="68"/>
      <c r="H81" s="28"/>
    </row>
    <row r="82" spans="2:8" x14ac:dyDescent="0.25">
      <c r="D82" s="26" t="s">
        <v>16</v>
      </c>
      <c r="E82" s="27"/>
      <c r="F82" s="24"/>
      <c r="G82" s="24"/>
      <c r="H82" s="28"/>
    </row>
    <row r="83" spans="2:8" x14ac:dyDescent="0.25">
      <c r="D83" s="26" t="s">
        <v>17</v>
      </c>
      <c r="E83" s="27">
        <v>90000</v>
      </c>
      <c r="F83" s="68"/>
      <c r="G83" s="68"/>
      <c r="H83" s="28"/>
    </row>
    <row r="84" spans="2:8" ht="30" customHeight="1" x14ac:dyDescent="0.25">
      <c r="D84" s="26" t="s">
        <v>77</v>
      </c>
      <c r="E84" s="27">
        <f>E81-E82-E83</f>
        <v>-17895.500000000015</v>
      </c>
      <c r="F84" s="70" t="s">
        <v>190</v>
      </c>
      <c r="G84" s="68"/>
      <c r="H84" s="28"/>
    </row>
    <row r="85" spans="2:8" x14ac:dyDescent="0.25">
      <c r="F85" s="65" t="s">
        <v>47</v>
      </c>
      <c r="G85" s="65"/>
      <c r="H85" s="30">
        <f>H81+H84</f>
        <v>0</v>
      </c>
    </row>
    <row r="87" spans="2:8" x14ac:dyDescent="0.25">
      <c r="B87" s="67" t="s">
        <v>78</v>
      </c>
      <c r="C87" s="67"/>
      <c r="D87" s="67" t="s">
        <v>79</v>
      </c>
      <c r="E87" s="67"/>
      <c r="G87" s="25" t="s">
        <v>80</v>
      </c>
    </row>
    <row r="88" spans="2:8" x14ac:dyDescent="0.25">
      <c r="B88" s="29"/>
      <c r="C88" s="29"/>
      <c r="D88" s="29"/>
      <c r="E88" s="29"/>
      <c r="G88" s="25"/>
    </row>
    <row r="90" spans="2:8" x14ac:dyDescent="0.25">
      <c r="B90" s="66" t="s">
        <v>81</v>
      </c>
      <c r="C90" s="66"/>
      <c r="D90" s="66" t="s">
        <v>82</v>
      </c>
      <c r="E90" s="66"/>
      <c r="F90" s="66" t="s">
        <v>83</v>
      </c>
      <c r="G90" s="66"/>
      <c r="H90" s="66"/>
    </row>
    <row r="91" spans="2:8" x14ac:dyDescent="0.25">
      <c r="B91" s="66" t="s">
        <v>86</v>
      </c>
      <c r="C91" s="66"/>
      <c r="D91" s="66" t="s">
        <v>84</v>
      </c>
      <c r="E91" s="66"/>
      <c r="F91" s="66" t="s">
        <v>85</v>
      </c>
      <c r="G91" s="66"/>
      <c r="H91" s="66"/>
    </row>
    <row r="92" spans="2:8" x14ac:dyDescent="0.25">
      <c r="B92" s="69">
        <v>45964</v>
      </c>
      <c r="C92" s="66"/>
    </row>
  </sheetData>
  <mergeCells count="15">
    <mergeCell ref="F90:H90"/>
    <mergeCell ref="B91:C91"/>
    <mergeCell ref="D91:E91"/>
    <mergeCell ref="F91:H91"/>
    <mergeCell ref="A3:D3"/>
    <mergeCell ref="A4:D4"/>
    <mergeCell ref="F81:G81"/>
    <mergeCell ref="F83:G83"/>
    <mergeCell ref="F84:G84"/>
    <mergeCell ref="F85:G85"/>
    <mergeCell ref="B92:C92"/>
    <mergeCell ref="B87:C87"/>
    <mergeCell ref="D87:E87"/>
    <mergeCell ref="B90:C90"/>
    <mergeCell ref="D90:E90"/>
  </mergeCells>
  <pageMargins left="1.3779527559055118" right="0.98425196850393704" top="0.98425196850393704" bottom="0.98425196850393704" header="0.51181102362204722" footer="0.51181102362204722"/>
  <pageSetup paperSize="9" scale="78" fitToHeight="0" orientation="landscape" r:id="rId1"/>
  <rowBreaks count="2" manualBreakCount="2">
    <brk id="33" max="16383" man="1"/>
    <brk id="6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9884-F1E0-4862-94FC-1CF98976AFE2}">
  <sheetPr>
    <pageSetUpPr fitToPage="1"/>
  </sheetPr>
  <dimension ref="A3:I83"/>
  <sheetViews>
    <sheetView topLeftCell="A61" zoomScaleNormal="100" zoomScaleSheetLayoutView="91" workbookViewId="0">
      <selection activeCell="F36" sqref="F36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</cols>
  <sheetData>
    <row r="3" spans="1:9" x14ac:dyDescent="0.25">
      <c r="A3" s="64" t="s">
        <v>191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9" x14ac:dyDescent="0.25">
      <c r="A7" s="33">
        <v>1</v>
      </c>
      <c r="B7" s="34">
        <v>45962</v>
      </c>
      <c r="C7" s="35" t="s">
        <v>192</v>
      </c>
      <c r="D7" s="35" t="s">
        <v>193</v>
      </c>
      <c r="E7" s="35" t="s">
        <v>41</v>
      </c>
      <c r="F7" s="36">
        <v>1440</v>
      </c>
      <c r="G7" s="37">
        <v>300</v>
      </c>
      <c r="H7" s="9">
        <f>F7-G7</f>
        <v>1140</v>
      </c>
    </row>
    <row r="8" spans="1:9" x14ac:dyDescent="0.25">
      <c r="A8" s="33">
        <v>2</v>
      </c>
      <c r="B8" s="38">
        <v>45962</v>
      </c>
      <c r="C8" s="39" t="s">
        <v>194</v>
      </c>
      <c r="D8" s="39" t="s">
        <v>24</v>
      </c>
      <c r="E8" s="39" t="s">
        <v>41</v>
      </c>
      <c r="F8" s="40">
        <v>4056</v>
      </c>
      <c r="G8" s="41">
        <v>0</v>
      </c>
      <c r="H8" s="9">
        <f t="shared" ref="H8:H66" si="0">F8-G8</f>
        <v>4056</v>
      </c>
    </row>
    <row r="9" spans="1:9" x14ac:dyDescent="0.25">
      <c r="A9" s="33">
        <v>3</v>
      </c>
      <c r="B9" s="34">
        <v>45962</v>
      </c>
      <c r="C9" s="35" t="s">
        <v>195</v>
      </c>
      <c r="D9" s="35" t="s">
        <v>31</v>
      </c>
      <c r="E9" s="35" t="s">
        <v>41</v>
      </c>
      <c r="F9" s="36">
        <v>76.8</v>
      </c>
      <c r="G9" s="37">
        <v>0</v>
      </c>
      <c r="H9" s="9">
        <f t="shared" si="0"/>
        <v>76.8</v>
      </c>
    </row>
    <row r="10" spans="1:9" x14ac:dyDescent="0.25">
      <c r="A10" s="33">
        <v>4</v>
      </c>
      <c r="B10" s="38">
        <v>45963</v>
      </c>
      <c r="C10" s="39" t="s">
        <v>196</v>
      </c>
      <c r="D10" s="39" t="s">
        <v>11</v>
      </c>
      <c r="E10" s="39" t="s">
        <v>41</v>
      </c>
      <c r="F10" s="40">
        <v>2105</v>
      </c>
      <c r="G10" s="41">
        <v>0</v>
      </c>
      <c r="H10" s="9">
        <f t="shared" si="0"/>
        <v>2105</v>
      </c>
      <c r="I10" s="32"/>
    </row>
    <row r="11" spans="1:9" x14ac:dyDescent="0.25">
      <c r="A11" s="33">
        <v>5</v>
      </c>
      <c r="B11" s="34">
        <v>45963</v>
      </c>
      <c r="C11" s="35" t="s">
        <v>197</v>
      </c>
      <c r="D11" s="35" t="s">
        <v>198</v>
      </c>
      <c r="E11" s="35" t="s">
        <v>41</v>
      </c>
      <c r="F11" s="36">
        <v>530</v>
      </c>
      <c r="G11" s="37">
        <v>300</v>
      </c>
      <c r="H11" s="9">
        <f t="shared" si="0"/>
        <v>230</v>
      </c>
    </row>
    <row r="12" spans="1:9" x14ac:dyDescent="0.25">
      <c r="A12" s="33">
        <v>6</v>
      </c>
      <c r="B12" s="38">
        <v>45966</v>
      </c>
      <c r="C12" s="39" t="s">
        <v>199</v>
      </c>
      <c r="D12" s="39" t="s">
        <v>59</v>
      </c>
      <c r="E12" s="39" t="s">
        <v>41</v>
      </c>
      <c r="F12" s="40">
        <v>85</v>
      </c>
      <c r="G12" s="41">
        <v>0</v>
      </c>
      <c r="H12" s="9">
        <f t="shared" si="0"/>
        <v>85</v>
      </c>
    </row>
    <row r="13" spans="1:9" x14ac:dyDescent="0.25">
      <c r="A13" s="33">
        <v>7</v>
      </c>
      <c r="B13" s="34">
        <v>45967</v>
      </c>
      <c r="C13" s="35" t="s">
        <v>200</v>
      </c>
      <c r="D13" s="35" t="s">
        <v>201</v>
      </c>
      <c r="E13" s="35" t="s">
        <v>42</v>
      </c>
      <c r="F13" s="36">
        <v>980</v>
      </c>
      <c r="G13" s="37">
        <v>0</v>
      </c>
      <c r="H13" s="9">
        <f t="shared" si="0"/>
        <v>980</v>
      </c>
    </row>
    <row r="14" spans="1:9" x14ac:dyDescent="0.25">
      <c r="A14" s="33">
        <v>8</v>
      </c>
      <c r="B14" s="38">
        <v>45968</v>
      </c>
      <c r="C14" s="39" t="s">
        <v>202</v>
      </c>
      <c r="D14" s="39" t="s">
        <v>19</v>
      </c>
      <c r="E14" s="39" t="s">
        <v>41</v>
      </c>
      <c r="F14" s="40">
        <v>775</v>
      </c>
      <c r="G14" s="41">
        <v>0</v>
      </c>
      <c r="H14" s="9">
        <f t="shared" si="0"/>
        <v>775</v>
      </c>
    </row>
    <row r="15" spans="1:9" x14ac:dyDescent="0.25">
      <c r="A15" s="33">
        <v>9</v>
      </c>
      <c r="B15" s="34">
        <v>45969</v>
      </c>
      <c r="C15" s="35" t="s">
        <v>203</v>
      </c>
      <c r="D15" s="35" t="s">
        <v>204</v>
      </c>
      <c r="E15" s="35" t="s">
        <v>41</v>
      </c>
      <c r="F15" s="36">
        <v>1722</v>
      </c>
      <c r="G15" s="37">
        <v>300</v>
      </c>
      <c r="H15" s="9">
        <f t="shared" si="0"/>
        <v>1422</v>
      </c>
    </row>
    <row r="16" spans="1:9" x14ac:dyDescent="0.25">
      <c r="A16" s="33">
        <v>10</v>
      </c>
      <c r="B16" s="38">
        <v>45969</v>
      </c>
      <c r="C16" s="39" t="s">
        <v>205</v>
      </c>
      <c r="D16" s="39" t="s">
        <v>206</v>
      </c>
      <c r="E16" s="39" t="s">
        <v>41</v>
      </c>
      <c r="F16" s="40">
        <v>4189.2</v>
      </c>
      <c r="G16" s="41">
        <v>300</v>
      </c>
      <c r="H16" s="9">
        <f t="shared" si="0"/>
        <v>3889.2</v>
      </c>
    </row>
    <row r="17" spans="1:8" x14ac:dyDescent="0.25">
      <c r="A17" s="33">
        <v>11</v>
      </c>
      <c r="B17" s="34">
        <v>45969</v>
      </c>
      <c r="C17" s="35" t="s">
        <v>207</v>
      </c>
      <c r="D17" s="35" t="s">
        <v>30</v>
      </c>
      <c r="E17" s="35" t="s">
        <v>41</v>
      </c>
      <c r="F17" s="36">
        <v>2176</v>
      </c>
      <c r="G17" s="37">
        <v>200</v>
      </c>
      <c r="H17" s="9">
        <f t="shared" si="0"/>
        <v>1976</v>
      </c>
    </row>
    <row r="18" spans="1:8" x14ac:dyDescent="0.25">
      <c r="A18" s="33">
        <v>12</v>
      </c>
      <c r="B18" s="38">
        <v>45969</v>
      </c>
      <c r="C18" s="39" t="s">
        <v>208</v>
      </c>
      <c r="D18" s="39" t="s">
        <v>209</v>
      </c>
      <c r="E18" s="39" t="s">
        <v>41</v>
      </c>
      <c r="F18" s="40">
        <v>408</v>
      </c>
      <c r="G18" s="41">
        <v>300</v>
      </c>
      <c r="H18" s="9">
        <f t="shared" si="0"/>
        <v>108</v>
      </c>
    </row>
    <row r="19" spans="1:8" x14ac:dyDescent="0.25">
      <c r="A19" s="33">
        <v>13</v>
      </c>
      <c r="B19" s="34">
        <v>45970</v>
      </c>
      <c r="C19" s="35" t="s">
        <v>210</v>
      </c>
      <c r="D19" s="35" t="s">
        <v>74</v>
      </c>
      <c r="E19" s="35" t="s">
        <v>41</v>
      </c>
      <c r="F19" s="36">
        <v>308</v>
      </c>
      <c r="G19" s="37">
        <v>200</v>
      </c>
      <c r="H19" s="9">
        <f t="shared" si="0"/>
        <v>108</v>
      </c>
    </row>
    <row r="20" spans="1:8" x14ac:dyDescent="0.25">
      <c r="A20" s="33">
        <v>14</v>
      </c>
      <c r="B20" s="38">
        <v>45972</v>
      </c>
      <c r="C20" s="39" t="s">
        <v>211</v>
      </c>
      <c r="D20" s="39" t="s">
        <v>29</v>
      </c>
      <c r="E20" s="39" t="s">
        <v>41</v>
      </c>
      <c r="F20" s="40">
        <v>0</v>
      </c>
      <c r="G20" s="41">
        <v>0</v>
      </c>
      <c r="H20" s="9">
        <f t="shared" si="0"/>
        <v>0</v>
      </c>
    </row>
    <row r="21" spans="1:8" x14ac:dyDescent="0.25">
      <c r="A21" s="33">
        <v>15</v>
      </c>
      <c r="B21" s="34">
        <v>45972</v>
      </c>
      <c r="C21" s="35" t="s">
        <v>212</v>
      </c>
      <c r="D21" s="35" t="s">
        <v>32</v>
      </c>
      <c r="E21" s="35" t="s">
        <v>41</v>
      </c>
      <c r="F21" s="36">
        <v>512</v>
      </c>
      <c r="G21" s="37">
        <v>200</v>
      </c>
      <c r="H21" s="9">
        <f t="shared" si="0"/>
        <v>312</v>
      </c>
    </row>
    <row r="22" spans="1:8" x14ac:dyDescent="0.25">
      <c r="A22" s="33">
        <v>16</v>
      </c>
      <c r="B22" s="38">
        <v>45973</v>
      </c>
      <c r="C22" s="39" t="s">
        <v>213</v>
      </c>
      <c r="D22" s="39" t="s">
        <v>214</v>
      </c>
      <c r="E22" s="39" t="s">
        <v>41</v>
      </c>
      <c r="F22" s="40">
        <v>350</v>
      </c>
      <c r="G22" s="41">
        <v>200</v>
      </c>
      <c r="H22" s="9">
        <f t="shared" si="0"/>
        <v>150</v>
      </c>
    </row>
    <row r="23" spans="1:8" x14ac:dyDescent="0.25">
      <c r="A23" s="33">
        <v>17</v>
      </c>
      <c r="B23" s="34">
        <v>45973</v>
      </c>
      <c r="C23" s="35" t="s">
        <v>215</v>
      </c>
      <c r="D23" s="35" t="s">
        <v>216</v>
      </c>
      <c r="E23" s="35" t="s">
        <v>41</v>
      </c>
      <c r="F23" s="36">
        <v>420</v>
      </c>
      <c r="G23" s="37">
        <v>200</v>
      </c>
      <c r="H23" s="9">
        <f t="shared" si="0"/>
        <v>220</v>
      </c>
    </row>
    <row r="24" spans="1:8" x14ac:dyDescent="0.25">
      <c r="A24" s="33">
        <v>18</v>
      </c>
      <c r="B24" s="38">
        <v>45973</v>
      </c>
      <c r="C24" s="39" t="s">
        <v>217</v>
      </c>
      <c r="D24" s="39" t="s">
        <v>11</v>
      </c>
      <c r="E24" s="39" t="s">
        <v>41</v>
      </c>
      <c r="F24" s="40">
        <v>0</v>
      </c>
      <c r="G24" s="41">
        <v>0</v>
      </c>
      <c r="H24" s="9">
        <f t="shared" si="0"/>
        <v>0</v>
      </c>
    </row>
    <row r="25" spans="1:8" x14ac:dyDescent="0.25">
      <c r="A25" s="33">
        <v>19</v>
      </c>
      <c r="B25" s="34">
        <v>45974</v>
      </c>
      <c r="C25" s="35" t="s">
        <v>218</v>
      </c>
      <c r="D25" s="35" t="s">
        <v>66</v>
      </c>
      <c r="E25" s="35" t="s">
        <v>41</v>
      </c>
      <c r="F25" s="36">
        <v>1082</v>
      </c>
      <c r="G25" s="37">
        <v>300</v>
      </c>
      <c r="H25" s="9">
        <f t="shared" si="0"/>
        <v>782</v>
      </c>
    </row>
    <row r="26" spans="1:8" x14ac:dyDescent="0.25">
      <c r="A26" s="33">
        <v>20</v>
      </c>
      <c r="B26" s="38">
        <v>45974</v>
      </c>
      <c r="C26" s="39" t="s">
        <v>219</v>
      </c>
      <c r="D26" s="39" t="s">
        <v>29</v>
      </c>
      <c r="E26" s="39" t="s">
        <v>41</v>
      </c>
      <c r="F26" s="40">
        <v>10321</v>
      </c>
      <c r="G26" s="41">
        <v>0</v>
      </c>
      <c r="H26" s="9">
        <f t="shared" si="0"/>
        <v>10321</v>
      </c>
    </row>
    <row r="27" spans="1:8" x14ac:dyDescent="0.25">
      <c r="A27" s="33">
        <v>21</v>
      </c>
      <c r="B27" s="34">
        <v>45975</v>
      </c>
      <c r="C27" s="35" t="s">
        <v>220</v>
      </c>
      <c r="D27" s="35" t="s">
        <v>221</v>
      </c>
      <c r="E27" s="35" t="s">
        <v>103</v>
      </c>
      <c r="F27" s="36">
        <v>0</v>
      </c>
      <c r="G27" s="37">
        <v>0</v>
      </c>
      <c r="H27" s="9">
        <f t="shared" si="0"/>
        <v>0</v>
      </c>
    </row>
    <row r="28" spans="1:8" x14ac:dyDescent="0.25">
      <c r="A28" s="33">
        <v>22</v>
      </c>
      <c r="B28" s="38">
        <v>45975</v>
      </c>
      <c r="C28" s="39" t="s">
        <v>222</v>
      </c>
      <c r="D28" s="39" t="s">
        <v>175</v>
      </c>
      <c r="E28" s="39" t="s">
        <v>41</v>
      </c>
      <c r="F28" s="40">
        <v>0</v>
      </c>
      <c r="G28" s="41">
        <v>0</v>
      </c>
      <c r="H28" s="9">
        <f t="shared" si="0"/>
        <v>0</v>
      </c>
    </row>
    <row r="29" spans="1:8" x14ac:dyDescent="0.25">
      <c r="A29" s="33">
        <v>23</v>
      </c>
      <c r="B29" s="34">
        <v>45975</v>
      </c>
      <c r="C29" s="35" t="s">
        <v>223</v>
      </c>
      <c r="D29" s="35" t="s">
        <v>175</v>
      </c>
      <c r="E29" s="35" t="s">
        <v>41</v>
      </c>
      <c r="F29" s="36">
        <v>2540</v>
      </c>
      <c r="G29" s="37">
        <v>300</v>
      </c>
      <c r="H29" s="9">
        <f t="shared" si="0"/>
        <v>2240</v>
      </c>
    </row>
    <row r="30" spans="1:8" x14ac:dyDescent="0.25">
      <c r="A30" s="33">
        <v>24</v>
      </c>
      <c r="B30" s="38">
        <v>45975</v>
      </c>
      <c r="C30" s="39" t="s">
        <v>224</v>
      </c>
      <c r="D30" s="39" t="s">
        <v>73</v>
      </c>
      <c r="E30" s="39" t="s">
        <v>41</v>
      </c>
      <c r="F30" s="40">
        <v>180</v>
      </c>
      <c r="G30" s="41">
        <v>0</v>
      </c>
      <c r="H30" s="9">
        <f t="shared" si="0"/>
        <v>180</v>
      </c>
    </row>
    <row r="31" spans="1:8" x14ac:dyDescent="0.25">
      <c r="A31" s="33">
        <v>25</v>
      </c>
      <c r="B31" s="34">
        <v>45975</v>
      </c>
      <c r="C31" s="35" t="s">
        <v>225</v>
      </c>
      <c r="D31" s="35" t="s">
        <v>44</v>
      </c>
      <c r="E31" s="35" t="s">
        <v>41</v>
      </c>
      <c r="F31" s="36">
        <v>950</v>
      </c>
      <c r="G31" s="37">
        <v>0</v>
      </c>
      <c r="H31" s="9">
        <f t="shared" si="0"/>
        <v>950</v>
      </c>
    </row>
    <row r="32" spans="1:8" x14ac:dyDescent="0.25">
      <c r="A32" s="33">
        <v>26</v>
      </c>
      <c r="B32" s="38">
        <v>45975</v>
      </c>
      <c r="C32" s="39" t="s">
        <v>226</v>
      </c>
      <c r="D32" s="39" t="s">
        <v>175</v>
      </c>
      <c r="E32" s="39" t="s">
        <v>41</v>
      </c>
      <c r="F32" s="40">
        <v>150</v>
      </c>
      <c r="G32" s="41">
        <v>0</v>
      </c>
      <c r="H32" s="9">
        <f t="shared" si="0"/>
        <v>150</v>
      </c>
    </row>
    <row r="33" spans="1:9" x14ac:dyDescent="0.25">
      <c r="A33" s="33">
        <v>27</v>
      </c>
      <c r="B33" s="34">
        <v>45976</v>
      </c>
      <c r="C33" s="35" t="s">
        <v>227</v>
      </c>
      <c r="D33" s="35" t="s">
        <v>7</v>
      </c>
      <c r="E33" s="35" t="s">
        <v>41</v>
      </c>
      <c r="F33" s="36">
        <v>83</v>
      </c>
      <c r="G33" s="37">
        <v>0</v>
      </c>
      <c r="H33" s="9">
        <f t="shared" si="0"/>
        <v>83</v>
      </c>
    </row>
    <row r="34" spans="1:9" x14ac:dyDescent="0.25">
      <c r="A34" s="33">
        <v>28</v>
      </c>
      <c r="B34" s="38">
        <v>45976</v>
      </c>
      <c r="C34" s="39" t="s">
        <v>228</v>
      </c>
      <c r="D34" s="39" t="s">
        <v>185</v>
      </c>
      <c r="E34" s="39" t="s">
        <v>41</v>
      </c>
      <c r="F34" s="40">
        <v>780</v>
      </c>
      <c r="G34" s="41">
        <v>300</v>
      </c>
      <c r="H34" s="9">
        <f t="shared" si="0"/>
        <v>480</v>
      </c>
      <c r="I34" s="32"/>
    </row>
    <row r="35" spans="1:9" x14ac:dyDescent="0.25">
      <c r="A35" s="33">
        <v>29</v>
      </c>
      <c r="B35" s="34">
        <v>45976</v>
      </c>
      <c r="C35" s="35" t="s">
        <v>229</v>
      </c>
      <c r="D35" s="35" t="s">
        <v>39</v>
      </c>
      <c r="E35" s="35" t="s">
        <v>41</v>
      </c>
      <c r="F35" s="36">
        <v>108</v>
      </c>
      <c r="G35" s="37">
        <v>0</v>
      </c>
      <c r="H35" s="9">
        <f t="shared" si="0"/>
        <v>108</v>
      </c>
    </row>
    <row r="36" spans="1:9" x14ac:dyDescent="0.25">
      <c r="A36" s="33">
        <v>30</v>
      </c>
      <c r="B36" s="38">
        <v>45978</v>
      </c>
      <c r="C36" s="39" t="s">
        <v>230</v>
      </c>
      <c r="D36" s="39" t="s">
        <v>231</v>
      </c>
      <c r="E36" s="39" t="s">
        <v>41</v>
      </c>
      <c r="F36" s="40">
        <v>3894.5</v>
      </c>
      <c r="G36" s="41">
        <v>300</v>
      </c>
      <c r="H36" s="9">
        <f t="shared" si="0"/>
        <v>3594.5</v>
      </c>
    </row>
    <row r="37" spans="1:9" x14ac:dyDescent="0.25">
      <c r="A37" s="33">
        <v>31</v>
      </c>
      <c r="B37" s="34">
        <v>45978</v>
      </c>
      <c r="C37" s="35" t="s">
        <v>232</v>
      </c>
      <c r="D37" s="35" t="s">
        <v>26</v>
      </c>
      <c r="E37" s="35" t="s">
        <v>41</v>
      </c>
      <c r="F37" s="36">
        <v>750</v>
      </c>
      <c r="G37" s="37">
        <v>0</v>
      </c>
      <c r="H37" s="9">
        <f t="shared" si="0"/>
        <v>750</v>
      </c>
    </row>
    <row r="38" spans="1:9" x14ac:dyDescent="0.25">
      <c r="A38" s="33">
        <v>32</v>
      </c>
      <c r="B38" s="38">
        <v>45981</v>
      </c>
      <c r="C38" s="39" t="s">
        <v>233</v>
      </c>
      <c r="D38" s="39" t="s">
        <v>33</v>
      </c>
      <c r="E38" s="39" t="s">
        <v>41</v>
      </c>
      <c r="F38" s="40">
        <v>1196</v>
      </c>
      <c r="G38" s="41">
        <v>200</v>
      </c>
      <c r="H38" s="9">
        <f t="shared" si="0"/>
        <v>996</v>
      </c>
    </row>
    <row r="39" spans="1:9" x14ac:dyDescent="0.25">
      <c r="A39" s="33">
        <v>33</v>
      </c>
      <c r="B39" s="34">
        <v>45981</v>
      </c>
      <c r="C39" s="35" t="s">
        <v>234</v>
      </c>
      <c r="D39" s="35" t="s">
        <v>235</v>
      </c>
      <c r="E39" s="35" t="s">
        <v>41</v>
      </c>
      <c r="F39" s="36">
        <v>3460</v>
      </c>
      <c r="G39" s="37">
        <v>300</v>
      </c>
      <c r="H39" s="9">
        <f t="shared" si="0"/>
        <v>3160</v>
      </c>
    </row>
    <row r="40" spans="1:9" x14ac:dyDescent="0.25">
      <c r="A40" s="33">
        <v>34</v>
      </c>
      <c r="B40" s="38">
        <v>45981</v>
      </c>
      <c r="C40" s="39" t="s">
        <v>236</v>
      </c>
      <c r="D40" s="39" t="s">
        <v>237</v>
      </c>
      <c r="E40" s="39" t="s">
        <v>42</v>
      </c>
      <c r="F40" s="40">
        <v>2400</v>
      </c>
      <c r="G40" s="41">
        <v>0</v>
      </c>
      <c r="H40" s="9">
        <f t="shared" si="0"/>
        <v>2400</v>
      </c>
    </row>
    <row r="41" spans="1:9" x14ac:dyDescent="0.25">
      <c r="A41" s="33">
        <v>35</v>
      </c>
      <c r="B41" s="34">
        <v>45981</v>
      </c>
      <c r="C41" s="35" t="s">
        <v>238</v>
      </c>
      <c r="D41" s="35" t="s">
        <v>175</v>
      </c>
      <c r="E41" s="35" t="s">
        <v>41</v>
      </c>
      <c r="F41" s="36">
        <v>390</v>
      </c>
      <c r="G41" s="37">
        <v>0</v>
      </c>
      <c r="H41" s="9">
        <f t="shared" si="0"/>
        <v>390</v>
      </c>
    </row>
    <row r="42" spans="1:9" x14ac:dyDescent="0.25">
      <c r="A42" s="33">
        <v>36</v>
      </c>
      <c r="B42" s="38">
        <v>45982</v>
      </c>
      <c r="C42" s="39" t="s">
        <v>239</v>
      </c>
      <c r="D42" s="39" t="s">
        <v>40</v>
      </c>
      <c r="E42" s="39" t="s">
        <v>41</v>
      </c>
      <c r="F42" s="40">
        <v>0</v>
      </c>
      <c r="G42" s="41">
        <v>0</v>
      </c>
      <c r="H42" s="9">
        <f t="shared" si="0"/>
        <v>0</v>
      </c>
    </row>
    <row r="43" spans="1:9" x14ac:dyDescent="0.25">
      <c r="A43" s="33">
        <v>37</v>
      </c>
      <c r="B43" s="34">
        <v>45982</v>
      </c>
      <c r="C43" s="35" t="s">
        <v>240</v>
      </c>
      <c r="D43" s="35" t="s">
        <v>20</v>
      </c>
      <c r="E43" s="35" t="s">
        <v>41</v>
      </c>
      <c r="F43" s="36">
        <v>1020</v>
      </c>
      <c r="G43" s="37">
        <v>0</v>
      </c>
      <c r="H43" s="9">
        <f t="shared" si="0"/>
        <v>1020</v>
      </c>
    </row>
    <row r="44" spans="1:9" x14ac:dyDescent="0.25">
      <c r="A44" s="33">
        <v>38</v>
      </c>
      <c r="B44" s="38">
        <v>45982</v>
      </c>
      <c r="C44" s="39" t="s">
        <v>241</v>
      </c>
      <c r="D44" s="39" t="s">
        <v>22</v>
      </c>
      <c r="E44" s="39" t="s">
        <v>41</v>
      </c>
      <c r="F44" s="40">
        <v>140</v>
      </c>
      <c r="G44" s="41">
        <v>0</v>
      </c>
      <c r="H44" s="9">
        <f t="shared" si="0"/>
        <v>140</v>
      </c>
    </row>
    <row r="45" spans="1:9" x14ac:dyDescent="0.25">
      <c r="A45" s="33">
        <v>39</v>
      </c>
      <c r="B45" s="34">
        <v>45982</v>
      </c>
      <c r="C45" s="35" t="s">
        <v>242</v>
      </c>
      <c r="D45" s="35" t="s">
        <v>8</v>
      </c>
      <c r="E45" s="35" t="s">
        <v>41</v>
      </c>
      <c r="F45" s="36">
        <v>582</v>
      </c>
      <c r="G45" s="37">
        <v>0</v>
      </c>
      <c r="H45" s="9">
        <f t="shared" si="0"/>
        <v>582</v>
      </c>
    </row>
    <row r="46" spans="1:9" x14ac:dyDescent="0.25">
      <c r="A46" s="33">
        <v>40</v>
      </c>
      <c r="B46" s="38">
        <v>45983</v>
      </c>
      <c r="C46" s="39" t="s">
        <v>243</v>
      </c>
      <c r="D46" s="39" t="s">
        <v>113</v>
      </c>
      <c r="E46" s="39" t="s">
        <v>244</v>
      </c>
      <c r="F46" s="40">
        <v>0</v>
      </c>
      <c r="G46" s="41">
        <v>0</v>
      </c>
      <c r="H46" s="9">
        <f t="shared" si="0"/>
        <v>0</v>
      </c>
    </row>
    <row r="47" spans="1:9" x14ac:dyDescent="0.25">
      <c r="A47" s="33">
        <v>41</v>
      </c>
      <c r="B47" s="34">
        <v>45983</v>
      </c>
      <c r="C47" s="35" t="s">
        <v>245</v>
      </c>
      <c r="D47" s="35" t="s">
        <v>113</v>
      </c>
      <c r="E47" s="35" t="s">
        <v>41</v>
      </c>
      <c r="F47" s="36">
        <v>2240</v>
      </c>
      <c r="G47" s="37">
        <v>300</v>
      </c>
      <c r="H47" s="9">
        <f t="shared" si="0"/>
        <v>1940</v>
      </c>
    </row>
    <row r="48" spans="1:9" x14ac:dyDescent="0.25">
      <c r="A48" s="33">
        <v>42</v>
      </c>
      <c r="B48" s="38">
        <v>45983</v>
      </c>
      <c r="C48" s="39" t="s">
        <v>246</v>
      </c>
      <c r="D48" s="39" t="s">
        <v>247</v>
      </c>
      <c r="E48" s="39" t="s">
        <v>41</v>
      </c>
      <c r="F48" s="40">
        <v>800</v>
      </c>
      <c r="G48" s="41">
        <v>300</v>
      </c>
      <c r="H48" s="9">
        <f t="shared" si="0"/>
        <v>500</v>
      </c>
    </row>
    <row r="49" spans="1:9" x14ac:dyDescent="0.25">
      <c r="A49" s="33">
        <v>43</v>
      </c>
      <c r="B49" s="34">
        <v>45983</v>
      </c>
      <c r="C49" s="35" t="s">
        <v>248</v>
      </c>
      <c r="D49" s="35" t="s">
        <v>40</v>
      </c>
      <c r="E49" s="35" t="s">
        <v>41</v>
      </c>
      <c r="F49" s="36">
        <v>279</v>
      </c>
      <c r="G49" s="37">
        <v>200</v>
      </c>
      <c r="H49" s="9">
        <f t="shared" si="0"/>
        <v>79</v>
      </c>
    </row>
    <row r="50" spans="1:9" x14ac:dyDescent="0.25">
      <c r="A50" s="33">
        <v>44</v>
      </c>
      <c r="B50" s="38">
        <v>45984</v>
      </c>
      <c r="C50" s="39" t="s">
        <v>249</v>
      </c>
      <c r="D50" s="39" t="s">
        <v>11</v>
      </c>
      <c r="E50" s="39" t="s">
        <v>41</v>
      </c>
      <c r="F50" s="40">
        <v>1025</v>
      </c>
      <c r="G50" s="41">
        <v>0</v>
      </c>
      <c r="H50" s="9">
        <f t="shared" si="0"/>
        <v>1025</v>
      </c>
    </row>
    <row r="51" spans="1:9" x14ac:dyDescent="0.25">
      <c r="A51" s="33">
        <v>45</v>
      </c>
      <c r="B51" s="34">
        <v>45985</v>
      </c>
      <c r="C51" s="35" t="s">
        <v>250</v>
      </c>
      <c r="D51" s="35" t="s">
        <v>251</v>
      </c>
      <c r="E51" s="35" t="s">
        <v>41</v>
      </c>
      <c r="F51" s="36">
        <v>3511</v>
      </c>
      <c r="G51" s="37">
        <v>300</v>
      </c>
      <c r="H51" s="9">
        <f t="shared" si="0"/>
        <v>3211</v>
      </c>
    </row>
    <row r="52" spans="1:9" x14ac:dyDescent="0.25">
      <c r="A52" s="33">
        <v>46</v>
      </c>
      <c r="B52" s="38">
        <v>45985</v>
      </c>
      <c r="C52" s="39" t="s">
        <v>252</v>
      </c>
      <c r="D52" s="39" t="s">
        <v>251</v>
      </c>
      <c r="E52" s="39" t="s">
        <v>41</v>
      </c>
      <c r="F52" s="40">
        <v>844</v>
      </c>
      <c r="G52" s="41">
        <v>200</v>
      </c>
      <c r="H52" s="9">
        <f t="shared" si="0"/>
        <v>644</v>
      </c>
      <c r="I52" s="32"/>
    </row>
    <row r="53" spans="1:9" x14ac:dyDescent="0.25">
      <c r="A53" s="33">
        <v>47</v>
      </c>
      <c r="B53" s="34">
        <v>45985</v>
      </c>
      <c r="C53" s="35" t="s">
        <v>253</v>
      </c>
      <c r="D53" s="35" t="s">
        <v>254</v>
      </c>
      <c r="E53" s="35" t="s">
        <v>41</v>
      </c>
      <c r="F53" s="36">
        <v>1048</v>
      </c>
      <c r="G53" s="37">
        <v>300</v>
      </c>
      <c r="H53" s="9">
        <f t="shared" si="0"/>
        <v>748</v>
      </c>
    </row>
    <row r="54" spans="1:9" x14ac:dyDescent="0.25">
      <c r="A54" s="33">
        <v>48</v>
      </c>
      <c r="B54" s="38">
        <v>45985</v>
      </c>
      <c r="C54" s="39" t="s">
        <v>255</v>
      </c>
      <c r="D54" s="39" t="s">
        <v>60</v>
      </c>
      <c r="E54" s="39" t="s">
        <v>41</v>
      </c>
      <c r="F54" s="40">
        <v>208</v>
      </c>
      <c r="G54" s="41">
        <v>0</v>
      </c>
      <c r="H54" s="9">
        <f t="shared" si="0"/>
        <v>208</v>
      </c>
    </row>
    <row r="55" spans="1:9" x14ac:dyDescent="0.25">
      <c r="A55" s="33">
        <v>49</v>
      </c>
      <c r="B55" s="34">
        <v>45986</v>
      </c>
      <c r="C55" s="35" t="s">
        <v>256</v>
      </c>
      <c r="D55" s="35" t="s">
        <v>23</v>
      </c>
      <c r="E55" s="35" t="s">
        <v>41</v>
      </c>
      <c r="F55" s="36">
        <v>405</v>
      </c>
      <c r="G55" s="37">
        <v>0</v>
      </c>
      <c r="H55" s="9">
        <f t="shared" si="0"/>
        <v>405</v>
      </c>
    </row>
    <row r="56" spans="1:9" x14ac:dyDescent="0.25">
      <c r="A56" s="33">
        <v>50</v>
      </c>
      <c r="B56" s="38">
        <v>45987</v>
      </c>
      <c r="C56" s="39" t="s">
        <v>257</v>
      </c>
      <c r="D56" s="39" t="s">
        <v>44</v>
      </c>
      <c r="E56" s="39" t="s">
        <v>41</v>
      </c>
      <c r="F56" s="40">
        <v>374</v>
      </c>
      <c r="G56" s="41">
        <v>0</v>
      </c>
      <c r="H56" s="9">
        <f t="shared" si="0"/>
        <v>374</v>
      </c>
    </row>
    <row r="57" spans="1:9" x14ac:dyDescent="0.25">
      <c r="A57" s="33">
        <v>51</v>
      </c>
      <c r="B57" s="34">
        <v>45987</v>
      </c>
      <c r="C57" s="35" t="s">
        <v>258</v>
      </c>
      <c r="D57" s="35" t="s">
        <v>38</v>
      </c>
      <c r="E57" s="35" t="s">
        <v>41</v>
      </c>
      <c r="F57" s="36">
        <v>340</v>
      </c>
      <c r="G57" s="37">
        <v>0</v>
      </c>
      <c r="H57" s="9">
        <f t="shared" si="0"/>
        <v>340</v>
      </c>
    </row>
    <row r="58" spans="1:9" x14ac:dyDescent="0.25">
      <c r="A58" s="33">
        <v>52</v>
      </c>
      <c r="B58" s="38">
        <v>45988</v>
      </c>
      <c r="C58" s="39" t="s">
        <v>259</v>
      </c>
      <c r="D58" s="39" t="s">
        <v>7</v>
      </c>
      <c r="E58" s="39" t="s">
        <v>41</v>
      </c>
      <c r="F58" s="40">
        <v>77</v>
      </c>
      <c r="G58" s="41">
        <v>0</v>
      </c>
      <c r="H58" s="9">
        <f t="shared" si="0"/>
        <v>77</v>
      </c>
    </row>
    <row r="59" spans="1:9" x14ac:dyDescent="0.25">
      <c r="A59" s="33">
        <v>53</v>
      </c>
      <c r="B59" s="34">
        <v>45989</v>
      </c>
      <c r="C59" s="35" t="s">
        <v>260</v>
      </c>
      <c r="D59" s="35" t="s">
        <v>52</v>
      </c>
      <c r="E59" s="35" t="s">
        <v>41</v>
      </c>
      <c r="F59" s="36">
        <v>740</v>
      </c>
      <c r="G59" s="37">
        <v>300</v>
      </c>
      <c r="H59" s="9">
        <f t="shared" si="0"/>
        <v>440</v>
      </c>
    </row>
    <row r="60" spans="1:9" x14ac:dyDescent="0.25">
      <c r="A60" s="33">
        <v>54</v>
      </c>
      <c r="B60" s="38">
        <v>45989</v>
      </c>
      <c r="C60" s="39" t="s">
        <v>261</v>
      </c>
      <c r="D60" s="39" t="s">
        <v>262</v>
      </c>
      <c r="E60" s="39" t="s">
        <v>41</v>
      </c>
      <c r="F60" s="40">
        <v>3852</v>
      </c>
      <c r="G60" s="41">
        <v>300</v>
      </c>
      <c r="H60" s="9">
        <f t="shared" si="0"/>
        <v>3552</v>
      </c>
    </row>
    <row r="61" spans="1:9" x14ac:dyDescent="0.25">
      <c r="A61" s="33">
        <v>55</v>
      </c>
      <c r="B61" s="34">
        <v>45989</v>
      </c>
      <c r="C61" s="35" t="s">
        <v>263</v>
      </c>
      <c r="D61" s="35" t="s">
        <v>264</v>
      </c>
      <c r="E61" s="35" t="s">
        <v>41</v>
      </c>
      <c r="F61" s="36">
        <v>380</v>
      </c>
      <c r="G61" s="37">
        <v>300</v>
      </c>
      <c r="H61" s="9">
        <f t="shared" si="0"/>
        <v>80</v>
      </c>
    </row>
    <row r="62" spans="1:9" x14ac:dyDescent="0.25">
      <c r="A62" s="33">
        <v>56</v>
      </c>
      <c r="B62" s="38">
        <v>45989</v>
      </c>
      <c r="C62" s="39" t="s">
        <v>265</v>
      </c>
      <c r="D62" s="39" t="s">
        <v>22</v>
      </c>
      <c r="E62" s="39" t="s">
        <v>41</v>
      </c>
      <c r="F62" s="40">
        <v>780</v>
      </c>
      <c r="G62" s="41">
        <v>0</v>
      </c>
      <c r="H62" s="9">
        <f t="shared" si="0"/>
        <v>780</v>
      </c>
    </row>
    <row r="63" spans="1:9" x14ac:dyDescent="0.25">
      <c r="A63" s="33">
        <v>57</v>
      </c>
      <c r="B63" s="34">
        <v>45989</v>
      </c>
      <c r="C63" s="35" t="s">
        <v>266</v>
      </c>
      <c r="D63" s="35" t="s">
        <v>267</v>
      </c>
      <c r="E63" s="35" t="s">
        <v>41</v>
      </c>
      <c r="F63" s="36">
        <v>296</v>
      </c>
      <c r="G63" s="37">
        <v>200</v>
      </c>
      <c r="H63" s="9">
        <f t="shared" si="0"/>
        <v>96</v>
      </c>
    </row>
    <row r="64" spans="1:9" x14ac:dyDescent="0.25">
      <c r="A64" s="33">
        <v>58</v>
      </c>
      <c r="B64" s="38">
        <v>45989</v>
      </c>
      <c r="C64" s="39" t="s">
        <v>268</v>
      </c>
      <c r="D64" s="39" t="s">
        <v>22</v>
      </c>
      <c r="E64" s="39" t="s">
        <v>41</v>
      </c>
      <c r="F64" s="40">
        <v>93.5</v>
      </c>
      <c r="G64" s="41">
        <v>0</v>
      </c>
      <c r="H64" s="9">
        <f t="shared" si="0"/>
        <v>93.5</v>
      </c>
    </row>
    <row r="65" spans="1:8" x14ac:dyDescent="0.25">
      <c r="A65" s="33">
        <v>59</v>
      </c>
      <c r="B65" s="34">
        <v>45990</v>
      </c>
      <c r="C65" s="35" t="s">
        <v>269</v>
      </c>
      <c r="D65" s="35" t="s">
        <v>262</v>
      </c>
      <c r="E65" s="35" t="s">
        <v>103</v>
      </c>
      <c r="F65" s="36">
        <v>0</v>
      </c>
      <c r="G65" s="37">
        <v>0</v>
      </c>
      <c r="H65" s="9">
        <f t="shared" si="0"/>
        <v>0</v>
      </c>
    </row>
    <row r="66" spans="1:8" x14ac:dyDescent="0.25">
      <c r="A66" s="33">
        <v>60</v>
      </c>
      <c r="B66" s="38">
        <v>45991</v>
      </c>
      <c r="C66" s="39" t="s">
        <v>270</v>
      </c>
      <c r="D66" s="39" t="s">
        <v>12</v>
      </c>
      <c r="E66" s="39" t="s">
        <v>41</v>
      </c>
      <c r="F66" s="40">
        <v>700</v>
      </c>
      <c r="G66" s="41">
        <v>0</v>
      </c>
      <c r="H66" s="9">
        <f t="shared" si="0"/>
        <v>700</v>
      </c>
    </row>
    <row r="67" spans="1:8" ht="21" x14ac:dyDescent="0.25">
      <c r="A67" s="22" t="s">
        <v>15</v>
      </c>
      <c r="B67" s="18">
        <v>60</v>
      </c>
      <c r="C67" s="23"/>
      <c r="D67" s="15"/>
      <c r="E67" s="15"/>
      <c r="F67" s="19">
        <f>SUM(F7:F66)</f>
        <v>68152</v>
      </c>
      <c r="G67" s="16">
        <f>SUM(G7:G66)</f>
        <v>6900</v>
      </c>
      <c r="H67" s="17">
        <f>SUM(H7:H66)</f>
        <v>61252</v>
      </c>
    </row>
    <row r="68" spans="1:8" ht="8.25" customHeight="1" x14ac:dyDescent="0.25">
      <c r="A68" s="2"/>
      <c r="B68" s="11"/>
      <c r="C68" s="11"/>
      <c r="D68" s="12"/>
      <c r="E68" s="12"/>
      <c r="F68" s="13"/>
      <c r="G68" s="14"/>
      <c r="H68" s="10"/>
    </row>
    <row r="69" spans="1:8" hidden="1" x14ac:dyDescent="0.25">
      <c r="A69" s="2"/>
      <c r="B69" s="11"/>
      <c r="C69" s="11"/>
      <c r="D69" s="12"/>
      <c r="E69" s="12"/>
      <c r="F69" s="13"/>
      <c r="G69" s="14"/>
      <c r="H69" s="10"/>
    </row>
    <row r="70" spans="1:8" ht="11.25" customHeight="1" x14ac:dyDescent="0.25"/>
    <row r="72" spans="1:8" x14ac:dyDescent="0.25">
      <c r="D72" s="26" t="s">
        <v>76</v>
      </c>
      <c r="E72" s="27">
        <f>H67</f>
        <v>61252</v>
      </c>
      <c r="F72" s="68" t="s">
        <v>97</v>
      </c>
      <c r="G72" s="68"/>
      <c r="H72" s="28"/>
    </row>
    <row r="73" spans="1:8" x14ac:dyDescent="0.25">
      <c r="D73" s="26" t="s">
        <v>16</v>
      </c>
      <c r="E73" s="27"/>
      <c r="F73" s="24"/>
      <c r="G73" s="24"/>
      <c r="H73" s="28"/>
    </row>
    <row r="74" spans="1:8" x14ac:dyDescent="0.25">
      <c r="D74" s="26" t="s">
        <v>17</v>
      </c>
      <c r="E74" s="27">
        <v>90000</v>
      </c>
      <c r="F74" s="68"/>
      <c r="G74" s="68"/>
      <c r="H74" s="28"/>
    </row>
    <row r="75" spans="1:8" ht="30" customHeight="1" x14ac:dyDescent="0.25">
      <c r="D75" s="26" t="s">
        <v>77</v>
      </c>
      <c r="E75" s="27">
        <f>E72-E73-E74</f>
        <v>-28748</v>
      </c>
      <c r="F75" s="70" t="s">
        <v>190</v>
      </c>
      <c r="G75" s="68"/>
      <c r="H75" s="28"/>
    </row>
    <row r="76" spans="1:8" x14ac:dyDescent="0.25">
      <c r="F76" s="65" t="s">
        <v>47</v>
      </c>
      <c r="G76" s="65"/>
      <c r="H76" s="30">
        <f>H72+H75</f>
        <v>0</v>
      </c>
    </row>
    <row r="78" spans="1:8" x14ac:dyDescent="0.25">
      <c r="B78" s="67" t="s">
        <v>78</v>
      </c>
      <c r="C78" s="67"/>
      <c r="D78" s="67" t="s">
        <v>79</v>
      </c>
      <c r="E78" s="67"/>
      <c r="G78" s="25" t="s">
        <v>80</v>
      </c>
    </row>
    <row r="79" spans="1:8" x14ac:dyDescent="0.25">
      <c r="B79" s="29"/>
      <c r="C79" s="29"/>
      <c r="D79" s="29"/>
      <c r="E79" s="29"/>
      <c r="G79" s="25"/>
    </row>
    <row r="81" spans="2:8" x14ac:dyDescent="0.25">
      <c r="B81" s="66" t="s">
        <v>81</v>
      </c>
      <c r="C81" s="66"/>
      <c r="D81" s="66" t="s">
        <v>82</v>
      </c>
      <c r="E81" s="66"/>
      <c r="F81" s="66" t="s">
        <v>83</v>
      </c>
      <c r="G81" s="66"/>
      <c r="H81" s="66"/>
    </row>
    <row r="82" spans="2:8" x14ac:dyDescent="0.25">
      <c r="B82" s="66" t="s">
        <v>86</v>
      </c>
      <c r="C82" s="66"/>
      <c r="D82" s="66" t="s">
        <v>84</v>
      </c>
      <c r="E82" s="66"/>
      <c r="F82" s="66" t="s">
        <v>85</v>
      </c>
      <c r="G82" s="66"/>
      <c r="H82" s="66"/>
    </row>
    <row r="83" spans="2:8" x14ac:dyDescent="0.25">
      <c r="B83" s="69">
        <v>45993</v>
      </c>
      <c r="C83" s="66"/>
    </row>
  </sheetData>
  <mergeCells count="15">
    <mergeCell ref="F81:H81"/>
    <mergeCell ref="B82:C82"/>
    <mergeCell ref="D82:E82"/>
    <mergeCell ref="F82:H82"/>
    <mergeCell ref="A3:D3"/>
    <mergeCell ref="A4:D4"/>
    <mergeCell ref="F72:G72"/>
    <mergeCell ref="F74:G74"/>
    <mergeCell ref="F75:G75"/>
    <mergeCell ref="F76:G76"/>
    <mergeCell ref="B83:C83"/>
    <mergeCell ref="B78:C78"/>
    <mergeCell ref="D78:E78"/>
    <mergeCell ref="B81:C81"/>
    <mergeCell ref="D81:E81"/>
  </mergeCells>
  <pageMargins left="1.3779527559055118" right="0.98425196850393704" top="0.98425196850393704" bottom="0.98425196850393704" header="0.51181102362204722" footer="0.51181102362204722"/>
  <pageSetup paperSize="9" scale="78" fitToHeight="0" orientation="landscape" r:id="rId1"/>
  <rowBreaks count="2" manualBreakCount="2">
    <brk id="33" max="16383" man="1"/>
    <brk id="6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FC1C-3813-41D9-8E38-CAA51C4017CC}">
  <sheetPr>
    <pageSetUpPr fitToPage="1"/>
  </sheetPr>
  <dimension ref="A3:I135"/>
  <sheetViews>
    <sheetView view="pageBreakPreview" topLeftCell="A112" zoomScale="91" zoomScaleNormal="100" zoomScaleSheetLayoutView="91" workbookViewId="0">
      <selection activeCell="D136" sqref="D136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</cols>
  <sheetData>
    <row r="3" spans="1:9" x14ac:dyDescent="0.25">
      <c r="A3" s="64" t="s">
        <v>271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9" x14ac:dyDescent="0.25">
      <c r="A7" s="33">
        <v>1</v>
      </c>
      <c r="B7" s="34">
        <v>45992</v>
      </c>
      <c r="C7" s="35" t="s">
        <v>265</v>
      </c>
      <c r="D7" s="35" t="s">
        <v>22</v>
      </c>
      <c r="E7" s="35" t="s">
        <v>41</v>
      </c>
      <c r="F7" s="36">
        <v>780</v>
      </c>
      <c r="G7" s="37">
        <v>0</v>
      </c>
      <c r="H7" s="9">
        <f>F7-G7</f>
        <v>780</v>
      </c>
    </row>
    <row r="8" spans="1:9" x14ac:dyDescent="0.25">
      <c r="A8" s="33">
        <v>2</v>
      </c>
      <c r="B8" s="38">
        <v>45992</v>
      </c>
      <c r="C8" s="39" t="s">
        <v>272</v>
      </c>
      <c r="D8" s="39" t="s">
        <v>273</v>
      </c>
      <c r="E8" s="39" t="s">
        <v>41</v>
      </c>
      <c r="F8" s="40">
        <v>0</v>
      </c>
      <c r="G8" s="41">
        <v>0</v>
      </c>
      <c r="H8" s="9">
        <f t="shared" ref="H8:H71" si="0">F8-G8</f>
        <v>0</v>
      </c>
    </row>
    <row r="9" spans="1:9" x14ac:dyDescent="0.25">
      <c r="A9" s="33">
        <v>3</v>
      </c>
      <c r="B9" s="34">
        <v>45992</v>
      </c>
      <c r="C9" s="35" t="s">
        <v>274</v>
      </c>
      <c r="D9" s="35" t="s">
        <v>55</v>
      </c>
      <c r="E9" s="35" t="s">
        <v>41</v>
      </c>
      <c r="F9" s="36">
        <v>2211</v>
      </c>
      <c r="G9" s="37">
        <v>300</v>
      </c>
      <c r="H9" s="9">
        <f t="shared" si="0"/>
        <v>1911</v>
      </c>
    </row>
    <row r="10" spans="1:9" x14ac:dyDescent="0.25">
      <c r="A10" s="33">
        <v>4</v>
      </c>
      <c r="B10" s="38">
        <v>45993</v>
      </c>
      <c r="C10" s="39" t="s">
        <v>275</v>
      </c>
      <c r="D10" s="39" t="s">
        <v>118</v>
      </c>
      <c r="E10" s="39" t="s">
        <v>41</v>
      </c>
      <c r="F10" s="40">
        <v>2260</v>
      </c>
      <c r="G10" s="41">
        <v>0</v>
      </c>
      <c r="H10" s="9">
        <f t="shared" si="0"/>
        <v>2260</v>
      </c>
      <c r="I10" s="32"/>
    </row>
    <row r="11" spans="1:9" x14ac:dyDescent="0.25">
      <c r="A11" s="33">
        <v>5</v>
      </c>
      <c r="B11" s="34">
        <v>45993</v>
      </c>
      <c r="C11" s="35" t="s">
        <v>276</v>
      </c>
      <c r="D11" s="35" t="s">
        <v>90</v>
      </c>
      <c r="E11" s="35" t="s">
        <v>41</v>
      </c>
      <c r="F11" s="36">
        <v>600</v>
      </c>
      <c r="G11" s="37">
        <v>0</v>
      </c>
      <c r="H11" s="9">
        <f t="shared" si="0"/>
        <v>600</v>
      </c>
    </row>
    <row r="12" spans="1:9" x14ac:dyDescent="0.25">
      <c r="A12" s="33">
        <v>6</v>
      </c>
      <c r="B12" s="38">
        <v>45993</v>
      </c>
      <c r="C12" s="39" t="s">
        <v>277</v>
      </c>
      <c r="D12" s="39" t="s">
        <v>23</v>
      </c>
      <c r="E12" s="39" t="s">
        <v>41</v>
      </c>
      <c r="F12" s="40">
        <v>67.5</v>
      </c>
      <c r="G12" s="41">
        <v>0</v>
      </c>
      <c r="H12" s="9">
        <f t="shared" si="0"/>
        <v>67.5</v>
      </c>
    </row>
    <row r="13" spans="1:9" x14ac:dyDescent="0.25">
      <c r="A13" s="33">
        <v>7</v>
      </c>
      <c r="B13" s="34">
        <v>45994</v>
      </c>
      <c r="C13" s="35" t="s">
        <v>278</v>
      </c>
      <c r="D13" s="35" t="s">
        <v>279</v>
      </c>
      <c r="E13" s="35" t="s">
        <v>41</v>
      </c>
      <c r="F13" s="36">
        <v>1756</v>
      </c>
      <c r="G13" s="37">
        <v>300</v>
      </c>
      <c r="H13" s="9">
        <f t="shared" si="0"/>
        <v>1456</v>
      </c>
    </row>
    <row r="14" spans="1:9" x14ac:dyDescent="0.25">
      <c r="A14" s="33">
        <v>8</v>
      </c>
      <c r="B14" s="38">
        <v>45995</v>
      </c>
      <c r="C14" s="39" t="s">
        <v>280</v>
      </c>
      <c r="D14" s="39" t="s">
        <v>281</v>
      </c>
      <c r="E14" s="39" t="s">
        <v>41</v>
      </c>
      <c r="F14" s="40">
        <v>336</v>
      </c>
      <c r="G14" s="41">
        <v>300</v>
      </c>
      <c r="H14" s="9">
        <f t="shared" si="0"/>
        <v>36</v>
      </c>
    </row>
    <row r="15" spans="1:9" x14ac:dyDescent="0.25">
      <c r="A15" s="33">
        <v>9</v>
      </c>
      <c r="B15" s="34">
        <v>45995</v>
      </c>
      <c r="C15" s="35" t="s">
        <v>282</v>
      </c>
      <c r="D15" s="35" t="s">
        <v>7</v>
      </c>
      <c r="E15" s="35" t="s">
        <v>41</v>
      </c>
      <c r="F15" s="36">
        <v>140</v>
      </c>
      <c r="G15" s="37">
        <v>0</v>
      </c>
      <c r="H15" s="9">
        <f t="shared" si="0"/>
        <v>140</v>
      </c>
    </row>
    <row r="16" spans="1:9" x14ac:dyDescent="0.25">
      <c r="A16" s="33">
        <v>10</v>
      </c>
      <c r="B16" s="38">
        <v>45995</v>
      </c>
      <c r="C16" s="39" t="s">
        <v>283</v>
      </c>
      <c r="D16" s="39" t="s">
        <v>39</v>
      </c>
      <c r="E16" s="39" t="s">
        <v>41</v>
      </c>
      <c r="F16" s="40">
        <v>1603</v>
      </c>
      <c r="G16" s="41">
        <v>0</v>
      </c>
      <c r="H16" s="9">
        <f t="shared" si="0"/>
        <v>1603</v>
      </c>
    </row>
    <row r="17" spans="1:8" x14ac:dyDescent="0.25">
      <c r="A17" s="33">
        <v>11</v>
      </c>
      <c r="B17" s="34">
        <v>45995</v>
      </c>
      <c r="C17" s="35" t="s">
        <v>284</v>
      </c>
      <c r="D17" s="35" t="s">
        <v>99</v>
      </c>
      <c r="E17" s="35" t="s">
        <v>41</v>
      </c>
      <c r="F17" s="36">
        <v>600</v>
      </c>
      <c r="G17" s="37">
        <v>300</v>
      </c>
      <c r="H17" s="9">
        <f t="shared" si="0"/>
        <v>300</v>
      </c>
    </row>
    <row r="18" spans="1:8" x14ac:dyDescent="0.25">
      <c r="A18" s="33">
        <v>12</v>
      </c>
      <c r="B18" s="38">
        <v>45995</v>
      </c>
      <c r="C18" s="39" t="s">
        <v>285</v>
      </c>
      <c r="D18" s="39" t="s">
        <v>71</v>
      </c>
      <c r="E18" s="39" t="s">
        <v>41</v>
      </c>
      <c r="F18" s="40">
        <v>277</v>
      </c>
      <c r="G18" s="41">
        <v>100</v>
      </c>
      <c r="H18" s="9">
        <f t="shared" si="0"/>
        <v>177</v>
      </c>
    </row>
    <row r="19" spans="1:8" x14ac:dyDescent="0.25">
      <c r="A19" s="33">
        <v>13</v>
      </c>
      <c r="B19" s="34">
        <v>45995</v>
      </c>
      <c r="C19" s="35" t="s">
        <v>286</v>
      </c>
      <c r="D19" s="35" t="s">
        <v>13</v>
      </c>
      <c r="E19" s="35" t="s">
        <v>41</v>
      </c>
      <c r="F19" s="36">
        <v>890</v>
      </c>
      <c r="G19" s="37">
        <v>0</v>
      </c>
      <c r="H19" s="9">
        <f t="shared" si="0"/>
        <v>890</v>
      </c>
    </row>
    <row r="20" spans="1:8" x14ac:dyDescent="0.25">
      <c r="A20" s="33">
        <v>14</v>
      </c>
      <c r="B20" s="38">
        <v>45995</v>
      </c>
      <c r="C20" s="39" t="s">
        <v>287</v>
      </c>
      <c r="D20" s="39" t="s">
        <v>46</v>
      </c>
      <c r="E20" s="39" t="s">
        <v>41</v>
      </c>
      <c r="F20" s="40">
        <v>300</v>
      </c>
      <c r="G20" s="41">
        <v>0</v>
      </c>
      <c r="H20" s="9">
        <f t="shared" si="0"/>
        <v>300</v>
      </c>
    </row>
    <row r="21" spans="1:8" x14ac:dyDescent="0.25">
      <c r="A21" s="33">
        <v>15</v>
      </c>
      <c r="B21" s="34">
        <v>45995</v>
      </c>
      <c r="C21" s="35" t="s">
        <v>288</v>
      </c>
      <c r="D21" s="35" t="s">
        <v>20</v>
      </c>
      <c r="E21" s="35" t="s">
        <v>42</v>
      </c>
      <c r="F21" s="36">
        <v>9800</v>
      </c>
      <c r="G21" s="37">
        <v>0</v>
      </c>
      <c r="H21" s="9">
        <f t="shared" si="0"/>
        <v>9800</v>
      </c>
    </row>
    <row r="22" spans="1:8" x14ac:dyDescent="0.25">
      <c r="A22" s="33">
        <v>16</v>
      </c>
      <c r="B22" s="38">
        <v>45995</v>
      </c>
      <c r="C22" s="39" t="s">
        <v>289</v>
      </c>
      <c r="D22" s="39" t="s">
        <v>290</v>
      </c>
      <c r="E22" s="39" t="s">
        <v>41</v>
      </c>
      <c r="F22" s="40">
        <v>500</v>
      </c>
      <c r="G22" s="41">
        <v>0</v>
      </c>
      <c r="H22" s="9">
        <f t="shared" si="0"/>
        <v>500</v>
      </c>
    </row>
    <row r="23" spans="1:8" x14ac:dyDescent="0.25">
      <c r="A23" s="33">
        <v>17</v>
      </c>
      <c r="B23" s="34">
        <v>45995</v>
      </c>
      <c r="C23" s="35" t="s">
        <v>291</v>
      </c>
      <c r="D23" s="35" t="s">
        <v>68</v>
      </c>
      <c r="E23" s="35" t="s">
        <v>41</v>
      </c>
      <c r="F23" s="36">
        <v>480</v>
      </c>
      <c r="G23" s="37">
        <v>300</v>
      </c>
      <c r="H23" s="9">
        <f t="shared" si="0"/>
        <v>180</v>
      </c>
    </row>
    <row r="24" spans="1:8" x14ac:dyDescent="0.25">
      <c r="A24" s="33">
        <v>18</v>
      </c>
      <c r="B24" s="38">
        <v>45996</v>
      </c>
      <c r="C24" s="39" t="s">
        <v>292</v>
      </c>
      <c r="D24" s="39" t="s">
        <v>293</v>
      </c>
      <c r="E24" s="39" t="s">
        <v>41</v>
      </c>
      <c r="F24" s="40">
        <v>700</v>
      </c>
      <c r="G24" s="41">
        <v>300</v>
      </c>
      <c r="H24" s="9">
        <f t="shared" si="0"/>
        <v>400</v>
      </c>
    </row>
    <row r="25" spans="1:8" x14ac:dyDescent="0.25">
      <c r="A25" s="33">
        <v>19</v>
      </c>
      <c r="B25" s="34">
        <v>45996</v>
      </c>
      <c r="C25" s="35" t="s">
        <v>294</v>
      </c>
      <c r="D25" s="35" t="s">
        <v>295</v>
      </c>
      <c r="E25" s="35" t="s">
        <v>41</v>
      </c>
      <c r="F25" s="36">
        <v>462</v>
      </c>
      <c r="G25" s="37">
        <v>300</v>
      </c>
      <c r="H25" s="9">
        <f t="shared" si="0"/>
        <v>162</v>
      </c>
    </row>
    <row r="26" spans="1:8" x14ac:dyDescent="0.25">
      <c r="A26" s="33">
        <v>20</v>
      </c>
      <c r="B26" s="38">
        <v>45996</v>
      </c>
      <c r="C26" s="39" t="s">
        <v>296</v>
      </c>
      <c r="D26" s="39" t="s">
        <v>297</v>
      </c>
      <c r="E26" s="39" t="s">
        <v>41</v>
      </c>
      <c r="F26" s="40">
        <v>528</v>
      </c>
      <c r="G26" s="41">
        <v>0</v>
      </c>
      <c r="H26" s="9">
        <f t="shared" si="0"/>
        <v>528</v>
      </c>
    </row>
    <row r="27" spans="1:8" x14ac:dyDescent="0.25">
      <c r="A27" s="33">
        <v>21</v>
      </c>
      <c r="B27" s="34">
        <v>45996</v>
      </c>
      <c r="C27" s="35" t="s">
        <v>298</v>
      </c>
      <c r="D27" s="35" t="s">
        <v>22</v>
      </c>
      <c r="E27" s="35" t="s">
        <v>41</v>
      </c>
      <c r="F27" s="36">
        <v>1370.5</v>
      </c>
      <c r="G27" s="37">
        <v>0</v>
      </c>
      <c r="H27" s="9">
        <f t="shared" si="0"/>
        <v>1370.5</v>
      </c>
    </row>
    <row r="28" spans="1:8" x14ac:dyDescent="0.25">
      <c r="A28" s="33">
        <v>22</v>
      </c>
      <c r="B28" s="38">
        <v>45996</v>
      </c>
      <c r="C28" s="39" t="s">
        <v>299</v>
      </c>
      <c r="D28" s="39" t="s">
        <v>29</v>
      </c>
      <c r="E28" s="39" t="s">
        <v>41</v>
      </c>
      <c r="F28" s="40">
        <v>1716</v>
      </c>
      <c r="G28" s="41">
        <v>0</v>
      </c>
      <c r="H28" s="9">
        <f t="shared" si="0"/>
        <v>1716</v>
      </c>
    </row>
    <row r="29" spans="1:8" x14ac:dyDescent="0.25">
      <c r="A29" s="33">
        <v>23</v>
      </c>
      <c r="B29" s="34">
        <v>45996</v>
      </c>
      <c r="C29" s="35" t="s">
        <v>300</v>
      </c>
      <c r="D29" s="35" t="s">
        <v>29</v>
      </c>
      <c r="E29" s="35" t="s">
        <v>41</v>
      </c>
      <c r="F29" s="36">
        <v>4593</v>
      </c>
      <c r="G29" s="37">
        <v>0</v>
      </c>
      <c r="H29" s="9">
        <f t="shared" si="0"/>
        <v>4593</v>
      </c>
    </row>
    <row r="30" spans="1:8" x14ac:dyDescent="0.25">
      <c r="A30" s="33">
        <v>24</v>
      </c>
      <c r="B30" s="38">
        <v>45996</v>
      </c>
      <c r="C30" s="39" t="s">
        <v>301</v>
      </c>
      <c r="D30" s="39" t="s">
        <v>302</v>
      </c>
      <c r="E30" s="39" t="s">
        <v>41</v>
      </c>
      <c r="F30" s="40">
        <v>408</v>
      </c>
      <c r="G30" s="41">
        <v>300</v>
      </c>
      <c r="H30" s="9">
        <f t="shared" si="0"/>
        <v>108</v>
      </c>
    </row>
    <row r="31" spans="1:8" x14ac:dyDescent="0.25">
      <c r="A31" s="33">
        <v>25</v>
      </c>
      <c r="B31" s="34">
        <v>45996</v>
      </c>
      <c r="C31" s="35" t="s">
        <v>303</v>
      </c>
      <c r="D31" s="35" t="s">
        <v>49</v>
      </c>
      <c r="E31" s="35" t="s">
        <v>41</v>
      </c>
      <c r="F31" s="36">
        <v>75</v>
      </c>
      <c r="G31" s="37">
        <v>0</v>
      </c>
      <c r="H31" s="9">
        <f t="shared" si="0"/>
        <v>75</v>
      </c>
    </row>
    <row r="32" spans="1:8" x14ac:dyDescent="0.25">
      <c r="A32" s="33">
        <v>26</v>
      </c>
      <c r="B32" s="38">
        <v>45996</v>
      </c>
      <c r="C32" s="39" t="s">
        <v>304</v>
      </c>
      <c r="D32" s="39" t="s">
        <v>94</v>
      </c>
      <c r="E32" s="39" t="s">
        <v>41</v>
      </c>
      <c r="F32" s="40">
        <v>245</v>
      </c>
      <c r="G32" s="41">
        <v>200</v>
      </c>
      <c r="H32" s="9">
        <f t="shared" si="0"/>
        <v>45</v>
      </c>
    </row>
    <row r="33" spans="1:8" x14ac:dyDescent="0.25">
      <c r="A33" s="33">
        <v>27</v>
      </c>
      <c r="B33" s="34">
        <v>45996</v>
      </c>
      <c r="C33" s="35" t="s">
        <v>305</v>
      </c>
      <c r="D33" s="35" t="s">
        <v>306</v>
      </c>
      <c r="E33" s="35" t="s">
        <v>103</v>
      </c>
      <c r="F33" s="36">
        <v>0</v>
      </c>
      <c r="G33" s="37">
        <v>0</v>
      </c>
      <c r="H33" s="9">
        <f t="shared" si="0"/>
        <v>0</v>
      </c>
    </row>
    <row r="34" spans="1:8" x14ac:dyDescent="0.25">
      <c r="A34" s="33">
        <v>28</v>
      </c>
      <c r="B34" s="38">
        <v>45997</v>
      </c>
      <c r="C34" s="39" t="s">
        <v>307</v>
      </c>
      <c r="D34" s="39" t="s">
        <v>308</v>
      </c>
      <c r="E34" s="39" t="s">
        <v>103</v>
      </c>
      <c r="F34" s="40">
        <v>0</v>
      </c>
      <c r="G34" s="41">
        <v>0</v>
      </c>
      <c r="H34" s="9">
        <f t="shared" si="0"/>
        <v>0</v>
      </c>
    </row>
    <row r="35" spans="1:8" x14ac:dyDescent="0.25">
      <c r="A35" s="33">
        <v>29</v>
      </c>
      <c r="B35" s="34">
        <v>45997</v>
      </c>
      <c r="C35" s="35" t="s">
        <v>309</v>
      </c>
      <c r="D35" s="35" t="s">
        <v>9</v>
      </c>
      <c r="E35" s="35" t="s">
        <v>41</v>
      </c>
      <c r="F35" s="36">
        <v>4400</v>
      </c>
      <c r="G35" s="37">
        <v>0</v>
      </c>
      <c r="H35" s="9">
        <f t="shared" si="0"/>
        <v>4400</v>
      </c>
    </row>
    <row r="36" spans="1:8" x14ac:dyDescent="0.25">
      <c r="A36" s="33">
        <v>30</v>
      </c>
      <c r="B36" s="38">
        <v>45997</v>
      </c>
      <c r="C36" s="39" t="s">
        <v>310</v>
      </c>
      <c r="D36" s="39" t="s">
        <v>48</v>
      </c>
      <c r="E36" s="39" t="s">
        <v>41</v>
      </c>
      <c r="F36" s="40">
        <v>170</v>
      </c>
      <c r="G36" s="41">
        <v>0</v>
      </c>
      <c r="H36" s="9">
        <f t="shared" si="0"/>
        <v>170</v>
      </c>
    </row>
    <row r="37" spans="1:8" x14ac:dyDescent="0.25">
      <c r="A37" s="33">
        <v>31</v>
      </c>
      <c r="B37" s="34">
        <v>45999</v>
      </c>
      <c r="C37" s="35" t="s">
        <v>311</v>
      </c>
      <c r="D37" s="35" t="s">
        <v>57</v>
      </c>
      <c r="E37" s="35" t="s">
        <v>41</v>
      </c>
      <c r="F37" s="36">
        <v>350</v>
      </c>
      <c r="G37" s="37">
        <v>200</v>
      </c>
      <c r="H37" s="9">
        <f t="shared" si="0"/>
        <v>150</v>
      </c>
    </row>
    <row r="38" spans="1:8" x14ac:dyDescent="0.25">
      <c r="A38" s="33">
        <v>32</v>
      </c>
      <c r="B38" s="38">
        <v>45999</v>
      </c>
      <c r="C38" s="39" t="s">
        <v>312</v>
      </c>
      <c r="D38" s="39" t="s">
        <v>313</v>
      </c>
      <c r="E38" s="39" t="s">
        <v>41</v>
      </c>
      <c r="F38" s="40">
        <v>580</v>
      </c>
      <c r="G38" s="41">
        <v>300</v>
      </c>
      <c r="H38" s="9">
        <f t="shared" si="0"/>
        <v>280</v>
      </c>
    </row>
    <row r="39" spans="1:8" x14ac:dyDescent="0.25">
      <c r="A39" s="33">
        <v>33</v>
      </c>
      <c r="B39" s="34">
        <v>45999</v>
      </c>
      <c r="C39" s="35" t="s">
        <v>314</v>
      </c>
      <c r="D39" s="35" t="s">
        <v>315</v>
      </c>
      <c r="E39" s="35" t="s">
        <v>41</v>
      </c>
      <c r="F39" s="36">
        <v>900</v>
      </c>
      <c r="G39" s="37">
        <v>300</v>
      </c>
      <c r="H39" s="9">
        <f t="shared" si="0"/>
        <v>600</v>
      </c>
    </row>
    <row r="40" spans="1:8" x14ac:dyDescent="0.25">
      <c r="A40" s="33">
        <v>34</v>
      </c>
      <c r="B40" s="38">
        <v>46000</v>
      </c>
      <c r="C40" s="39" t="s">
        <v>316</v>
      </c>
      <c r="D40" s="39" t="s">
        <v>33</v>
      </c>
      <c r="E40" s="39" t="s">
        <v>41</v>
      </c>
      <c r="F40" s="40">
        <v>0</v>
      </c>
      <c r="G40" s="41">
        <v>0</v>
      </c>
      <c r="H40" s="9">
        <f t="shared" si="0"/>
        <v>0</v>
      </c>
    </row>
    <row r="41" spans="1:8" x14ac:dyDescent="0.25">
      <c r="A41" s="33">
        <v>35</v>
      </c>
      <c r="B41" s="34">
        <v>46000</v>
      </c>
      <c r="C41" s="35" t="s">
        <v>317</v>
      </c>
      <c r="D41" s="35" t="s">
        <v>14</v>
      </c>
      <c r="E41" s="35" t="s">
        <v>41</v>
      </c>
      <c r="F41" s="36">
        <v>1305</v>
      </c>
      <c r="G41" s="37">
        <v>300</v>
      </c>
      <c r="H41" s="9">
        <f t="shared" si="0"/>
        <v>1005</v>
      </c>
    </row>
    <row r="42" spans="1:8" x14ac:dyDescent="0.25">
      <c r="A42" s="33">
        <v>36</v>
      </c>
      <c r="B42" s="38">
        <v>46000</v>
      </c>
      <c r="C42" s="39" t="s">
        <v>412</v>
      </c>
      <c r="D42" s="39" t="s">
        <v>413</v>
      </c>
      <c r="E42" s="39" t="s">
        <v>41</v>
      </c>
      <c r="F42" s="40">
        <v>1000</v>
      </c>
      <c r="G42" s="41">
        <v>300</v>
      </c>
      <c r="H42" s="9">
        <f t="shared" si="0"/>
        <v>700</v>
      </c>
    </row>
    <row r="43" spans="1:8" x14ac:dyDescent="0.25">
      <c r="A43" s="33">
        <v>37</v>
      </c>
      <c r="B43" s="34">
        <v>46000</v>
      </c>
      <c r="C43" s="35" t="s">
        <v>318</v>
      </c>
      <c r="D43" s="35" t="s">
        <v>59</v>
      </c>
      <c r="E43" s="35" t="s">
        <v>41</v>
      </c>
      <c r="F43" s="36">
        <v>504</v>
      </c>
      <c r="G43" s="37">
        <v>0</v>
      </c>
      <c r="H43" s="9">
        <f t="shared" si="0"/>
        <v>504</v>
      </c>
    </row>
    <row r="44" spans="1:8" x14ac:dyDescent="0.25">
      <c r="A44" s="33">
        <v>38</v>
      </c>
      <c r="B44" s="38">
        <v>46001</v>
      </c>
      <c r="C44" s="39" t="s">
        <v>319</v>
      </c>
      <c r="D44" s="39" t="s">
        <v>13</v>
      </c>
      <c r="E44" s="39" t="s">
        <v>41</v>
      </c>
      <c r="F44" s="40">
        <v>820</v>
      </c>
      <c r="G44" s="41">
        <v>0</v>
      </c>
      <c r="H44" s="9">
        <f t="shared" si="0"/>
        <v>820</v>
      </c>
    </row>
    <row r="45" spans="1:8" x14ac:dyDescent="0.25">
      <c r="A45" s="33">
        <v>39</v>
      </c>
      <c r="B45" s="34">
        <v>46001</v>
      </c>
      <c r="C45" s="35" t="s">
        <v>320</v>
      </c>
      <c r="D45" s="35" t="s">
        <v>32</v>
      </c>
      <c r="E45" s="35" t="s">
        <v>103</v>
      </c>
      <c r="F45" s="36">
        <v>0</v>
      </c>
      <c r="G45" s="37">
        <v>0</v>
      </c>
      <c r="H45" s="9">
        <f t="shared" si="0"/>
        <v>0</v>
      </c>
    </row>
    <row r="46" spans="1:8" x14ac:dyDescent="0.25">
      <c r="A46" s="33">
        <v>40</v>
      </c>
      <c r="B46" s="38">
        <v>46002</v>
      </c>
      <c r="C46" s="39" t="s">
        <v>321</v>
      </c>
      <c r="D46" s="39" t="s">
        <v>322</v>
      </c>
      <c r="E46" s="39" t="s">
        <v>41</v>
      </c>
      <c r="F46" s="40">
        <v>680</v>
      </c>
      <c r="G46" s="41">
        <v>200</v>
      </c>
      <c r="H46" s="9">
        <f t="shared" si="0"/>
        <v>480</v>
      </c>
    </row>
    <row r="47" spans="1:8" x14ac:dyDescent="0.25">
      <c r="A47" s="33">
        <v>41</v>
      </c>
      <c r="B47" s="34">
        <v>46002</v>
      </c>
      <c r="C47" s="35" t="s">
        <v>323</v>
      </c>
      <c r="D47" s="35" t="s">
        <v>322</v>
      </c>
      <c r="E47" s="35" t="s">
        <v>41</v>
      </c>
      <c r="F47" s="36">
        <v>340</v>
      </c>
      <c r="G47" s="37">
        <v>0</v>
      </c>
      <c r="H47" s="9">
        <f t="shared" si="0"/>
        <v>340</v>
      </c>
    </row>
    <row r="48" spans="1:8" x14ac:dyDescent="0.25">
      <c r="A48" s="33">
        <v>42</v>
      </c>
      <c r="B48" s="38">
        <v>46002</v>
      </c>
      <c r="C48" s="39" t="s">
        <v>324</v>
      </c>
      <c r="D48" s="39" t="s">
        <v>26</v>
      </c>
      <c r="E48" s="39" t="s">
        <v>41</v>
      </c>
      <c r="F48" s="40">
        <v>880</v>
      </c>
      <c r="G48" s="41">
        <v>0</v>
      </c>
      <c r="H48" s="9">
        <f t="shared" si="0"/>
        <v>880</v>
      </c>
    </row>
    <row r="49" spans="1:8" x14ac:dyDescent="0.25">
      <c r="A49" s="33">
        <v>43</v>
      </c>
      <c r="B49" s="34">
        <v>46002</v>
      </c>
      <c r="C49" s="35" t="s">
        <v>325</v>
      </c>
      <c r="D49" s="35" t="s">
        <v>326</v>
      </c>
      <c r="E49" s="35" t="s">
        <v>41</v>
      </c>
      <c r="F49" s="36">
        <v>745</v>
      </c>
      <c r="G49" s="37">
        <v>300</v>
      </c>
      <c r="H49" s="9">
        <f t="shared" si="0"/>
        <v>445</v>
      </c>
    </row>
    <row r="50" spans="1:8" x14ac:dyDescent="0.25">
      <c r="A50" s="33">
        <v>44</v>
      </c>
      <c r="B50" s="38">
        <v>46003</v>
      </c>
      <c r="C50" s="39" t="s">
        <v>414</v>
      </c>
      <c r="D50" s="39" t="s">
        <v>415</v>
      </c>
      <c r="E50" s="39" t="s">
        <v>43</v>
      </c>
      <c r="F50" s="40">
        <v>3200</v>
      </c>
      <c r="G50" s="41">
        <v>400</v>
      </c>
      <c r="H50" s="9">
        <f t="shared" si="0"/>
        <v>2800</v>
      </c>
    </row>
    <row r="51" spans="1:8" x14ac:dyDescent="0.25">
      <c r="A51" s="33">
        <v>45</v>
      </c>
      <c r="B51" s="34">
        <v>46003</v>
      </c>
      <c r="C51" s="35" t="s">
        <v>327</v>
      </c>
      <c r="D51" s="35" t="s">
        <v>44</v>
      </c>
      <c r="E51" s="35" t="s">
        <v>41</v>
      </c>
      <c r="F51" s="36">
        <v>1010</v>
      </c>
      <c r="G51" s="37">
        <v>0</v>
      </c>
      <c r="H51" s="9">
        <f t="shared" si="0"/>
        <v>1010</v>
      </c>
    </row>
    <row r="52" spans="1:8" x14ac:dyDescent="0.25">
      <c r="A52" s="33">
        <v>46</v>
      </c>
      <c r="B52" s="38">
        <v>46003</v>
      </c>
      <c r="C52" s="39" t="s">
        <v>328</v>
      </c>
      <c r="D52" s="39" t="s">
        <v>24</v>
      </c>
      <c r="E52" s="39" t="s">
        <v>41</v>
      </c>
      <c r="F52" s="40">
        <v>4040</v>
      </c>
      <c r="G52" s="41">
        <v>0</v>
      </c>
      <c r="H52" s="9">
        <f t="shared" si="0"/>
        <v>4040</v>
      </c>
    </row>
    <row r="53" spans="1:8" x14ac:dyDescent="0.25">
      <c r="A53" s="33">
        <v>47</v>
      </c>
      <c r="B53" s="34">
        <v>46003</v>
      </c>
      <c r="C53" s="35" t="s">
        <v>329</v>
      </c>
      <c r="D53" s="35" t="s">
        <v>330</v>
      </c>
      <c r="E53" s="35" t="s">
        <v>41</v>
      </c>
      <c r="F53" s="36">
        <v>3680</v>
      </c>
      <c r="G53" s="37">
        <v>0</v>
      </c>
      <c r="H53" s="9">
        <f t="shared" si="0"/>
        <v>3680</v>
      </c>
    </row>
    <row r="54" spans="1:8" x14ac:dyDescent="0.25">
      <c r="A54" s="33">
        <v>48</v>
      </c>
      <c r="B54" s="38">
        <v>46003</v>
      </c>
      <c r="C54" s="39" t="s">
        <v>331</v>
      </c>
      <c r="D54" s="39" t="s">
        <v>330</v>
      </c>
      <c r="E54" s="39" t="s">
        <v>41</v>
      </c>
      <c r="F54" s="40">
        <v>1960</v>
      </c>
      <c r="G54" s="41">
        <v>300</v>
      </c>
      <c r="H54" s="9">
        <f t="shared" si="0"/>
        <v>1660</v>
      </c>
    </row>
    <row r="55" spans="1:8" x14ac:dyDescent="0.25">
      <c r="A55" s="33">
        <v>49</v>
      </c>
      <c r="B55" s="34">
        <v>46003</v>
      </c>
      <c r="C55" s="35" t="s">
        <v>332</v>
      </c>
      <c r="D55" s="35" t="s">
        <v>20</v>
      </c>
      <c r="E55" s="35" t="s">
        <v>41</v>
      </c>
      <c r="F55" s="36">
        <v>2550</v>
      </c>
      <c r="G55" s="37">
        <v>0</v>
      </c>
      <c r="H55" s="9">
        <f t="shared" si="0"/>
        <v>2550</v>
      </c>
    </row>
    <row r="56" spans="1:8" x14ac:dyDescent="0.25">
      <c r="A56" s="33">
        <v>50</v>
      </c>
      <c r="B56" s="38">
        <v>46003</v>
      </c>
      <c r="C56" s="39" t="s">
        <v>333</v>
      </c>
      <c r="D56" s="39" t="s">
        <v>61</v>
      </c>
      <c r="E56" s="39" t="s">
        <v>41</v>
      </c>
      <c r="F56" s="40">
        <v>35</v>
      </c>
      <c r="G56" s="41">
        <v>0</v>
      </c>
      <c r="H56" s="9">
        <f t="shared" si="0"/>
        <v>35</v>
      </c>
    </row>
    <row r="57" spans="1:8" x14ac:dyDescent="0.25">
      <c r="A57" s="33">
        <v>51</v>
      </c>
      <c r="B57" s="34">
        <v>46003</v>
      </c>
      <c r="C57" s="35" t="s">
        <v>334</v>
      </c>
      <c r="D57" s="35" t="s">
        <v>7</v>
      </c>
      <c r="E57" s="35" t="s">
        <v>41</v>
      </c>
      <c r="F57" s="36">
        <v>12.5</v>
      </c>
      <c r="G57" s="37">
        <v>0</v>
      </c>
      <c r="H57" s="9">
        <f t="shared" si="0"/>
        <v>12.5</v>
      </c>
    </row>
    <row r="58" spans="1:8" x14ac:dyDescent="0.25">
      <c r="A58" s="33">
        <v>52</v>
      </c>
      <c r="B58" s="38">
        <v>46003</v>
      </c>
      <c r="C58" s="39" t="s">
        <v>335</v>
      </c>
      <c r="D58" s="39" t="s">
        <v>40</v>
      </c>
      <c r="E58" s="39" t="s">
        <v>41</v>
      </c>
      <c r="F58" s="40">
        <v>160</v>
      </c>
      <c r="G58" s="41">
        <v>100</v>
      </c>
      <c r="H58" s="9">
        <f t="shared" si="0"/>
        <v>60</v>
      </c>
    </row>
    <row r="59" spans="1:8" x14ac:dyDescent="0.25">
      <c r="A59" s="33">
        <v>53</v>
      </c>
      <c r="B59" s="34">
        <v>46003</v>
      </c>
      <c r="C59" s="35" t="s">
        <v>336</v>
      </c>
      <c r="D59" s="35" t="s">
        <v>9</v>
      </c>
      <c r="E59" s="35" t="s">
        <v>41</v>
      </c>
      <c r="F59" s="36">
        <v>420</v>
      </c>
      <c r="G59" s="37">
        <v>0</v>
      </c>
      <c r="H59" s="9">
        <f t="shared" si="0"/>
        <v>420</v>
      </c>
    </row>
    <row r="60" spans="1:8" x14ac:dyDescent="0.25">
      <c r="A60" s="33">
        <v>54</v>
      </c>
      <c r="B60" s="38">
        <v>46003</v>
      </c>
      <c r="C60" s="39" t="s">
        <v>337</v>
      </c>
      <c r="D60" s="39" t="s">
        <v>59</v>
      </c>
      <c r="E60" s="39" t="s">
        <v>41</v>
      </c>
      <c r="F60" s="40">
        <v>288</v>
      </c>
      <c r="G60" s="41">
        <v>100</v>
      </c>
      <c r="H60" s="9">
        <f t="shared" si="0"/>
        <v>188</v>
      </c>
    </row>
    <row r="61" spans="1:8" x14ac:dyDescent="0.25">
      <c r="A61" s="33">
        <v>55</v>
      </c>
      <c r="B61" s="34">
        <v>46004</v>
      </c>
      <c r="C61" s="35" t="s">
        <v>338</v>
      </c>
      <c r="D61" s="35" t="s">
        <v>24</v>
      </c>
      <c r="E61" s="35" t="s">
        <v>41</v>
      </c>
      <c r="F61" s="36">
        <v>4515</v>
      </c>
      <c r="G61" s="37">
        <v>0</v>
      </c>
      <c r="H61" s="9">
        <f t="shared" si="0"/>
        <v>4515</v>
      </c>
    </row>
    <row r="62" spans="1:8" x14ac:dyDescent="0.25">
      <c r="A62" s="33">
        <v>56</v>
      </c>
      <c r="B62" s="38">
        <v>46004</v>
      </c>
      <c r="C62" s="39" t="s">
        <v>339</v>
      </c>
      <c r="D62" s="39" t="s">
        <v>12</v>
      </c>
      <c r="E62" s="39" t="s">
        <v>41</v>
      </c>
      <c r="F62" s="40">
        <v>214.5</v>
      </c>
      <c r="G62" s="41">
        <v>0</v>
      </c>
      <c r="H62" s="9">
        <f t="shared" si="0"/>
        <v>214.5</v>
      </c>
    </row>
    <row r="63" spans="1:8" x14ac:dyDescent="0.25">
      <c r="A63" s="33">
        <v>57</v>
      </c>
      <c r="B63" s="34">
        <v>46005</v>
      </c>
      <c r="C63" s="35" t="s">
        <v>340</v>
      </c>
      <c r="D63" s="35" t="s">
        <v>48</v>
      </c>
      <c r="E63" s="35" t="s">
        <v>41</v>
      </c>
      <c r="F63" s="36">
        <v>2630</v>
      </c>
      <c r="G63" s="37">
        <v>300</v>
      </c>
      <c r="H63" s="9">
        <f t="shared" si="0"/>
        <v>2330</v>
      </c>
    </row>
    <row r="64" spans="1:8" x14ac:dyDescent="0.25">
      <c r="A64" s="33">
        <v>58</v>
      </c>
      <c r="B64" s="38">
        <v>46005</v>
      </c>
      <c r="C64" s="39" t="s">
        <v>341</v>
      </c>
      <c r="D64" s="39" t="s">
        <v>29</v>
      </c>
      <c r="E64" s="39" t="s">
        <v>41</v>
      </c>
      <c r="F64" s="40">
        <v>1270</v>
      </c>
      <c r="G64" s="41">
        <v>0</v>
      </c>
      <c r="H64" s="9">
        <f t="shared" si="0"/>
        <v>1270</v>
      </c>
    </row>
    <row r="65" spans="1:8" x14ac:dyDescent="0.25">
      <c r="A65" s="33">
        <v>59</v>
      </c>
      <c r="B65" s="34">
        <v>46006</v>
      </c>
      <c r="C65" s="35" t="s">
        <v>342</v>
      </c>
      <c r="D65" s="35" t="s">
        <v>60</v>
      </c>
      <c r="E65" s="35" t="s">
        <v>41</v>
      </c>
      <c r="F65" s="36">
        <v>75</v>
      </c>
      <c r="G65" s="37">
        <v>0</v>
      </c>
      <c r="H65" s="9">
        <f t="shared" si="0"/>
        <v>75</v>
      </c>
    </row>
    <row r="66" spans="1:8" x14ac:dyDescent="0.25">
      <c r="A66" s="33">
        <v>60</v>
      </c>
      <c r="B66" s="38">
        <v>46006</v>
      </c>
      <c r="C66" s="39" t="s">
        <v>343</v>
      </c>
      <c r="D66" s="39" t="s">
        <v>64</v>
      </c>
      <c r="E66" s="39" t="s">
        <v>41</v>
      </c>
      <c r="F66" s="40">
        <v>317</v>
      </c>
      <c r="G66" s="41">
        <v>200</v>
      </c>
      <c r="H66" s="9">
        <f t="shared" si="0"/>
        <v>117</v>
      </c>
    </row>
    <row r="67" spans="1:8" x14ac:dyDescent="0.25">
      <c r="A67" s="33">
        <v>61</v>
      </c>
      <c r="B67" s="34">
        <v>46007</v>
      </c>
      <c r="C67" s="35" t="s">
        <v>344</v>
      </c>
      <c r="D67" s="35" t="s">
        <v>39</v>
      </c>
      <c r="E67" s="35" t="s">
        <v>41</v>
      </c>
      <c r="F67" s="36">
        <v>3381</v>
      </c>
      <c r="G67" s="37">
        <v>0</v>
      </c>
      <c r="H67" s="9">
        <f t="shared" si="0"/>
        <v>3381</v>
      </c>
    </row>
    <row r="68" spans="1:8" x14ac:dyDescent="0.25">
      <c r="A68" s="33">
        <v>62</v>
      </c>
      <c r="B68" s="38">
        <v>46007</v>
      </c>
      <c r="C68" s="39" t="s">
        <v>345</v>
      </c>
      <c r="D68" s="39" t="s">
        <v>60</v>
      </c>
      <c r="E68" s="39" t="s">
        <v>41</v>
      </c>
      <c r="F68" s="40">
        <v>75</v>
      </c>
      <c r="G68" s="41">
        <v>0</v>
      </c>
      <c r="H68" s="9">
        <f t="shared" si="0"/>
        <v>75</v>
      </c>
    </row>
    <row r="69" spans="1:8" x14ac:dyDescent="0.25">
      <c r="A69" s="33">
        <v>63</v>
      </c>
      <c r="B69" s="34">
        <v>46007</v>
      </c>
      <c r="C69" s="35" t="s">
        <v>346</v>
      </c>
      <c r="D69" s="35" t="s">
        <v>347</v>
      </c>
      <c r="E69" s="35" t="s">
        <v>41</v>
      </c>
      <c r="F69" s="36">
        <v>30</v>
      </c>
      <c r="G69" s="37">
        <v>0</v>
      </c>
      <c r="H69" s="9">
        <f t="shared" si="0"/>
        <v>30</v>
      </c>
    </row>
    <row r="70" spans="1:8" x14ac:dyDescent="0.25">
      <c r="A70" s="33">
        <v>64</v>
      </c>
      <c r="B70" s="38">
        <v>46007</v>
      </c>
      <c r="C70" s="39" t="s">
        <v>348</v>
      </c>
      <c r="D70" s="39" t="s">
        <v>49</v>
      </c>
      <c r="E70" s="39" t="s">
        <v>41</v>
      </c>
      <c r="F70" s="40">
        <v>60</v>
      </c>
      <c r="G70" s="41">
        <v>0</v>
      </c>
      <c r="H70" s="9">
        <f t="shared" si="0"/>
        <v>60</v>
      </c>
    </row>
    <row r="71" spans="1:8" x14ac:dyDescent="0.25">
      <c r="A71" s="33">
        <v>65</v>
      </c>
      <c r="B71" s="34">
        <v>46008</v>
      </c>
      <c r="C71" s="35" t="s">
        <v>349</v>
      </c>
      <c r="D71" s="35" t="s">
        <v>33</v>
      </c>
      <c r="E71" s="35" t="s">
        <v>41</v>
      </c>
      <c r="F71" s="36">
        <v>674</v>
      </c>
      <c r="G71" s="37">
        <v>200</v>
      </c>
      <c r="H71" s="9">
        <f t="shared" si="0"/>
        <v>474</v>
      </c>
    </row>
    <row r="72" spans="1:8" x14ac:dyDescent="0.25">
      <c r="A72" s="33">
        <v>66</v>
      </c>
      <c r="B72" s="38">
        <v>46008</v>
      </c>
      <c r="C72" s="39" t="s">
        <v>350</v>
      </c>
      <c r="D72" s="39" t="s">
        <v>70</v>
      </c>
      <c r="E72" s="39" t="s">
        <v>41</v>
      </c>
      <c r="F72" s="40">
        <v>734</v>
      </c>
      <c r="G72" s="41">
        <v>300</v>
      </c>
      <c r="H72" s="9">
        <f t="shared" ref="H72:H118" si="1">F72-G72</f>
        <v>434</v>
      </c>
    </row>
    <row r="73" spans="1:8" x14ac:dyDescent="0.25">
      <c r="A73" s="33">
        <v>67</v>
      </c>
      <c r="B73" s="34">
        <v>46008</v>
      </c>
      <c r="C73" s="35" t="s">
        <v>351</v>
      </c>
      <c r="D73" s="35" t="s">
        <v>14</v>
      </c>
      <c r="E73" s="35" t="s">
        <v>41</v>
      </c>
      <c r="F73" s="36">
        <v>465</v>
      </c>
      <c r="G73" s="37">
        <v>0</v>
      </c>
      <c r="H73" s="9">
        <f t="shared" si="1"/>
        <v>465</v>
      </c>
    </row>
    <row r="74" spans="1:8" x14ac:dyDescent="0.25">
      <c r="A74" s="33">
        <v>68</v>
      </c>
      <c r="B74" s="38">
        <v>46008</v>
      </c>
      <c r="C74" s="39" t="s">
        <v>352</v>
      </c>
      <c r="D74" s="39" t="s">
        <v>59</v>
      </c>
      <c r="E74" s="39" t="s">
        <v>41</v>
      </c>
      <c r="F74" s="40">
        <v>0</v>
      </c>
      <c r="G74" s="41">
        <v>0</v>
      </c>
      <c r="H74" s="9">
        <f t="shared" si="1"/>
        <v>0</v>
      </c>
    </row>
    <row r="75" spans="1:8" x14ac:dyDescent="0.25">
      <c r="A75" s="33">
        <v>69</v>
      </c>
      <c r="B75" s="34">
        <v>46008</v>
      </c>
      <c r="C75" s="35" t="s">
        <v>353</v>
      </c>
      <c r="D75" s="35" t="s">
        <v>354</v>
      </c>
      <c r="E75" s="35" t="s">
        <v>41</v>
      </c>
      <c r="F75" s="36">
        <v>337.5</v>
      </c>
      <c r="G75" s="37">
        <v>300</v>
      </c>
      <c r="H75" s="9">
        <f t="shared" si="1"/>
        <v>37.5</v>
      </c>
    </row>
    <row r="76" spans="1:8" x14ac:dyDescent="0.25">
      <c r="A76" s="33">
        <v>70</v>
      </c>
      <c r="B76" s="38">
        <v>46008</v>
      </c>
      <c r="C76" s="39" t="s">
        <v>416</v>
      </c>
      <c r="D76" s="39" t="s">
        <v>417</v>
      </c>
      <c r="E76" s="39" t="s">
        <v>41</v>
      </c>
      <c r="F76" s="40">
        <v>835</v>
      </c>
      <c r="G76" s="41">
        <v>200</v>
      </c>
      <c r="H76" s="9">
        <f t="shared" si="1"/>
        <v>635</v>
      </c>
    </row>
    <row r="77" spans="1:8" x14ac:dyDescent="0.25">
      <c r="A77" s="33">
        <v>71</v>
      </c>
      <c r="B77" s="34">
        <v>46008</v>
      </c>
      <c r="C77" s="35" t="s">
        <v>355</v>
      </c>
      <c r="D77" s="35" t="s">
        <v>356</v>
      </c>
      <c r="E77" s="35" t="s">
        <v>41</v>
      </c>
      <c r="F77" s="36">
        <v>600</v>
      </c>
      <c r="G77" s="37">
        <v>300</v>
      </c>
      <c r="H77" s="9">
        <f t="shared" si="1"/>
        <v>300</v>
      </c>
    </row>
    <row r="78" spans="1:8" x14ac:dyDescent="0.25">
      <c r="A78" s="33">
        <v>72</v>
      </c>
      <c r="B78" s="38">
        <v>46009</v>
      </c>
      <c r="C78" s="39" t="s">
        <v>357</v>
      </c>
      <c r="D78" s="39" t="s">
        <v>358</v>
      </c>
      <c r="E78" s="39" t="s">
        <v>41</v>
      </c>
      <c r="F78" s="40">
        <v>0</v>
      </c>
      <c r="G78" s="41">
        <v>0</v>
      </c>
      <c r="H78" s="9">
        <f t="shared" si="1"/>
        <v>0</v>
      </c>
    </row>
    <row r="79" spans="1:8" x14ac:dyDescent="0.25">
      <c r="A79" s="33">
        <v>73</v>
      </c>
      <c r="B79" s="34">
        <v>46009</v>
      </c>
      <c r="C79" s="35" t="s">
        <v>359</v>
      </c>
      <c r="D79" s="35" t="s">
        <v>91</v>
      </c>
      <c r="E79" s="35" t="s">
        <v>103</v>
      </c>
      <c r="F79" s="36">
        <v>0</v>
      </c>
      <c r="G79" s="37">
        <v>0</v>
      </c>
      <c r="H79" s="9">
        <f t="shared" si="1"/>
        <v>0</v>
      </c>
    </row>
    <row r="80" spans="1:8" x14ac:dyDescent="0.25">
      <c r="A80" s="33">
        <v>74</v>
      </c>
      <c r="B80" s="38">
        <v>46009</v>
      </c>
      <c r="C80" s="39" t="s">
        <v>360</v>
      </c>
      <c r="D80" s="39" t="s">
        <v>326</v>
      </c>
      <c r="E80" s="39" t="s">
        <v>41</v>
      </c>
      <c r="F80" s="40">
        <v>130</v>
      </c>
      <c r="G80" s="41">
        <v>0</v>
      </c>
      <c r="H80" s="9">
        <f t="shared" si="1"/>
        <v>130</v>
      </c>
    </row>
    <row r="81" spans="1:9" x14ac:dyDescent="0.25">
      <c r="A81" s="33">
        <v>75</v>
      </c>
      <c r="B81" s="34">
        <v>46009</v>
      </c>
      <c r="C81" s="35" t="s">
        <v>361</v>
      </c>
      <c r="D81" s="35" t="s">
        <v>362</v>
      </c>
      <c r="E81" s="35" t="s">
        <v>41</v>
      </c>
      <c r="F81" s="36">
        <v>771</v>
      </c>
      <c r="G81" s="37">
        <v>300</v>
      </c>
      <c r="H81" s="9">
        <f t="shared" si="1"/>
        <v>471</v>
      </c>
    </row>
    <row r="82" spans="1:9" x14ac:dyDescent="0.25">
      <c r="A82" s="33">
        <v>76</v>
      </c>
      <c r="B82" s="38">
        <v>46009</v>
      </c>
      <c r="C82" s="39" t="s">
        <v>420</v>
      </c>
      <c r="D82" s="39" t="s">
        <v>421</v>
      </c>
      <c r="E82" s="39" t="s">
        <v>41</v>
      </c>
      <c r="F82" s="40">
        <v>962.4</v>
      </c>
      <c r="G82" s="41">
        <v>300</v>
      </c>
      <c r="H82" s="9">
        <f t="shared" si="1"/>
        <v>662.4</v>
      </c>
      <c r="I82" s="32"/>
    </row>
    <row r="83" spans="1:9" x14ac:dyDescent="0.25">
      <c r="A83" s="33">
        <v>77</v>
      </c>
      <c r="B83" s="34">
        <v>46010</v>
      </c>
      <c r="C83" s="35" t="s">
        <v>363</v>
      </c>
      <c r="D83" s="35" t="s">
        <v>364</v>
      </c>
      <c r="E83" s="35" t="s">
        <v>41</v>
      </c>
      <c r="F83" s="36">
        <v>190</v>
      </c>
      <c r="G83" s="37">
        <v>100</v>
      </c>
      <c r="H83" s="9">
        <f t="shared" si="1"/>
        <v>90</v>
      </c>
    </row>
    <row r="84" spans="1:9" x14ac:dyDescent="0.25">
      <c r="A84" s="33">
        <v>78</v>
      </c>
      <c r="B84" s="38">
        <v>46010</v>
      </c>
      <c r="C84" s="39" t="s">
        <v>365</v>
      </c>
      <c r="D84" s="39" t="s">
        <v>201</v>
      </c>
      <c r="E84" s="39" t="s">
        <v>41</v>
      </c>
      <c r="F84" s="40">
        <v>2188</v>
      </c>
      <c r="G84" s="41">
        <v>300</v>
      </c>
      <c r="H84" s="9">
        <f t="shared" si="1"/>
        <v>1888</v>
      </c>
    </row>
    <row r="85" spans="1:9" x14ac:dyDescent="0.25">
      <c r="A85" s="33">
        <v>79</v>
      </c>
      <c r="B85" s="34">
        <v>46010</v>
      </c>
      <c r="C85" s="35" t="s">
        <v>366</v>
      </c>
      <c r="D85" s="35" t="s">
        <v>72</v>
      </c>
      <c r="E85" s="35" t="s">
        <v>41</v>
      </c>
      <c r="F85" s="36">
        <v>230</v>
      </c>
      <c r="G85" s="37">
        <v>200</v>
      </c>
      <c r="H85" s="9">
        <f t="shared" si="1"/>
        <v>30</v>
      </c>
    </row>
    <row r="86" spans="1:9" x14ac:dyDescent="0.25">
      <c r="A86" s="33">
        <v>80</v>
      </c>
      <c r="B86" s="38">
        <v>46010</v>
      </c>
      <c r="C86" s="39" t="s">
        <v>367</v>
      </c>
      <c r="D86" s="39" t="s">
        <v>368</v>
      </c>
      <c r="E86" s="39" t="s">
        <v>41</v>
      </c>
      <c r="F86" s="40">
        <v>0</v>
      </c>
      <c r="G86" s="41">
        <v>0</v>
      </c>
      <c r="H86" s="9">
        <f t="shared" si="1"/>
        <v>0</v>
      </c>
    </row>
    <row r="87" spans="1:9" x14ac:dyDescent="0.25">
      <c r="A87" s="33">
        <v>81</v>
      </c>
      <c r="B87" s="34">
        <v>46010</v>
      </c>
      <c r="C87" s="35" t="s">
        <v>369</v>
      </c>
      <c r="D87" s="35" t="s">
        <v>49</v>
      </c>
      <c r="E87" s="35" t="s">
        <v>41</v>
      </c>
      <c r="F87" s="36">
        <v>30</v>
      </c>
      <c r="G87" s="37">
        <v>0</v>
      </c>
      <c r="H87" s="9">
        <f t="shared" si="1"/>
        <v>30</v>
      </c>
    </row>
    <row r="88" spans="1:9" x14ac:dyDescent="0.25">
      <c r="A88" s="33">
        <v>82</v>
      </c>
      <c r="B88" s="38">
        <v>46010</v>
      </c>
      <c r="C88" s="39" t="s">
        <v>370</v>
      </c>
      <c r="D88" s="39" t="s">
        <v>7</v>
      </c>
      <c r="E88" s="39" t="s">
        <v>41</v>
      </c>
      <c r="F88" s="40">
        <v>55</v>
      </c>
      <c r="G88" s="41">
        <v>0</v>
      </c>
      <c r="H88" s="9">
        <f t="shared" si="1"/>
        <v>55</v>
      </c>
    </row>
    <row r="89" spans="1:9" x14ac:dyDescent="0.25">
      <c r="A89" s="33">
        <v>83</v>
      </c>
      <c r="B89" s="34">
        <v>46010</v>
      </c>
      <c r="C89" s="35" t="s">
        <v>371</v>
      </c>
      <c r="D89" s="35" t="s">
        <v>64</v>
      </c>
      <c r="E89" s="35" t="s">
        <v>41</v>
      </c>
      <c r="F89" s="36">
        <v>163</v>
      </c>
      <c r="G89" s="37">
        <v>100</v>
      </c>
      <c r="H89" s="9">
        <f t="shared" si="1"/>
        <v>63</v>
      </c>
    </row>
    <row r="90" spans="1:9" x14ac:dyDescent="0.25">
      <c r="A90" s="33">
        <v>84</v>
      </c>
      <c r="B90" s="38">
        <v>46010</v>
      </c>
      <c r="C90" s="39" t="s">
        <v>372</v>
      </c>
      <c r="D90" s="39" t="s">
        <v>67</v>
      </c>
      <c r="E90" s="39" t="s">
        <v>41</v>
      </c>
      <c r="F90" s="40">
        <v>160</v>
      </c>
      <c r="G90" s="41">
        <v>0</v>
      </c>
      <c r="H90" s="9">
        <f t="shared" si="1"/>
        <v>160</v>
      </c>
    </row>
    <row r="91" spans="1:9" x14ac:dyDescent="0.25">
      <c r="A91" s="33">
        <v>85</v>
      </c>
      <c r="B91" s="34">
        <v>46010</v>
      </c>
      <c r="C91" s="35" t="s">
        <v>373</v>
      </c>
      <c r="D91" s="35" t="s">
        <v>22</v>
      </c>
      <c r="E91" s="35" t="s">
        <v>41</v>
      </c>
      <c r="F91" s="36">
        <v>480</v>
      </c>
      <c r="G91" s="37">
        <v>200</v>
      </c>
      <c r="H91" s="9">
        <f t="shared" si="1"/>
        <v>280</v>
      </c>
    </row>
    <row r="92" spans="1:9" x14ac:dyDescent="0.25">
      <c r="A92" s="33">
        <v>86</v>
      </c>
      <c r="B92" s="38">
        <v>46011</v>
      </c>
      <c r="C92" s="39" t="s">
        <v>374</v>
      </c>
      <c r="D92" s="39" t="s">
        <v>375</v>
      </c>
      <c r="E92" s="39" t="s">
        <v>41</v>
      </c>
      <c r="F92" s="40">
        <v>0</v>
      </c>
      <c r="G92" s="41">
        <v>0</v>
      </c>
      <c r="H92" s="9">
        <f t="shared" si="1"/>
        <v>0</v>
      </c>
    </row>
    <row r="93" spans="1:9" x14ac:dyDescent="0.25">
      <c r="A93" s="33">
        <v>87</v>
      </c>
      <c r="B93" s="34">
        <v>46012</v>
      </c>
      <c r="C93" s="35" t="s">
        <v>376</v>
      </c>
      <c r="D93" s="35" t="s">
        <v>36</v>
      </c>
      <c r="E93" s="35" t="s">
        <v>41</v>
      </c>
      <c r="F93" s="36">
        <v>1452.2</v>
      </c>
      <c r="G93" s="37">
        <v>0</v>
      </c>
      <c r="H93" s="9">
        <f t="shared" si="1"/>
        <v>1452.2</v>
      </c>
    </row>
    <row r="94" spans="1:9" x14ac:dyDescent="0.25">
      <c r="A94" s="33">
        <v>88</v>
      </c>
      <c r="B94" s="38">
        <v>46014</v>
      </c>
      <c r="C94" s="39" t="s">
        <v>377</v>
      </c>
      <c r="D94" s="39" t="s">
        <v>59</v>
      </c>
      <c r="E94" s="39" t="s">
        <v>41</v>
      </c>
      <c r="F94" s="40">
        <v>262</v>
      </c>
      <c r="G94" s="41">
        <v>0</v>
      </c>
      <c r="H94" s="9">
        <f t="shared" si="1"/>
        <v>262</v>
      </c>
    </row>
    <row r="95" spans="1:9" x14ac:dyDescent="0.25">
      <c r="A95" s="33">
        <v>89</v>
      </c>
      <c r="B95" s="34">
        <v>46015</v>
      </c>
      <c r="C95" s="35" t="s">
        <v>378</v>
      </c>
      <c r="D95" s="35" t="s">
        <v>379</v>
      </c>
      <c r="E95" s="35" t="s">
        <v>41</v>
      </c>
      <c r="F95" s="36">
        <v>550</v>
      </c>
      <c r="G95" s="37">
        <v>0</v>
      </c>
      <c r="H95" s="9">
        <f t="shared" si="1"/>
        <v>550</v>
      </c>
    </row>
    <row r="96" spans="1:9" x14ac:dyDescent="0.25">
      <c r="A96" s="33">
        <v>90</v>
      </c>
      <c r="B96" s="38">
        <v>46015</v>
      </c>
      <c r="C96" s="39" t="s">
        <v>380</v>
      </c>
      <c r="D96" s="39" t="s">
        <v>381</v>
      </c>
      <c r="E96" s="39" t="s">
        <v>41</v>
      </c>
      <c r="F96" s="40">
        <v>505</v>
      </c>
      <c r="G96" s="41">
        <v>300</v>
      </c>
      <c r="H96" s="9">
        <f t="shared" si="1"/>
        <v>205</v>
      </c>
    </row>
    <row r="97" spans="1:9" x14ac:dyDescent="0.25">
      <c r="A97" s="33">
        <v>91</v>
      </c>
      <c r="B97" s="34">
        <v>46015</v>
      </c>
      <c r="C97" s="35" t="s">
        <v>382</v>
      </c>
      <c r="D97" s="35" t="s">
        <v>22</v>
      </c>
      <c r="E97" s="35" t="s">
        <v>41</v>
      </c>
      <c r="F97" s="36">
        <v>450</v>
      </c>
      <c r="G97" s="37">
        <v>200</v>
      </c>
      <c r="H97" s="9">
        <f t="shared" si="1"/>
        <v>250</v>
      </c>
    </row>
    <row r="98" spans="1:9" x14ac:dyDescent="0.25">
      <c r="A98" s="33">
        <v>92</v>
      </c>
      <c r="B98" s="38">
        <v>46016</v>
      </c>
      <c r="C98" s="39" t="s">
        <v>383</v>
      </c>
      <c r="D98" s="39" t="s">
        <v>384</v>
      </c>
      <c r="E98" s="39" t="s">
        <v>41</v>
      </c>
      <c r="F98" s="40">
        <v>1880</v>
      </c>
      <c r="G98" s="41">
        <v>300</v>
      </c>
      <c r="H98" s="9">
        <f t="shared" si="1"/>
        <v>1580</v>
      </c>
    </row>
    <row r="99" spans="1:9" x14ac:dyDescent="0.25">
      <c r="A99" s="33">
        <v>93</v>
      </c>
      <c r="B99" s="34">
        <v>46016</v>
      </c>
      <c r="C99" s="35" t="s">
        <v>385</v>
      </c>
      <c r="D99" s="35" t="s">
        <v>54</v>
      </c>
      <c r="E99" s="35" t="s">
        <v>41</v>
      </c>
      <c r="F99" s="36">
        <v>900</v>
      </c>
      <c r="G99" s="37">
        <v>200</v>
      </c>
      <c r="H99" s="9">
        <f t="shared" si="1"/>
        <v>700</v>
      </c>
    </row>
    <row r="100" spans="1:9" x14ac:dyDescent="0.25">
      <c r="A100" s="33">
        <v>94</v>
      </c>
      <c r="B100" s="38">
        <v>46017</v>
      </c>
      <c r="C100" s="39" t="s">
        <v>386</v>
      </c>
      <c r="D100" s="39" t="s">
        <v>387</v>
      </c>
      <c r="E100" s="39" t="s">
        <v>41</v>
      </c>
      <c r="F100" s="40">
        <v>7050</v>
      </c>
      <c r="G100" s="41">
        <v>500</v>
      </c>
      <c r="H100" s="9">
        <f t="shared" si="1"/>
        <v>6550</v>
      </c>
      <c r="I100" s="32"/>
    </row>
    <row r="101" spans="1:9" x14ac:dyDescent="0.25">
      <c r="A101" s="33">
        <v>95</v>
      </c>
      <c r="B101" s="34">
        <v>46017</v>
      </c>
      <c r="C101" s="35" t="s">
        <v>388</v>
      </c>
      <c r="D101" s="35" t="s">
        <v>389</v>
      </c>
      <c r="E101" s="35" t="s">
        <v>41</v>
      </c>
      <c r="F101" s="36">
        <v>1522</v>
      </c>
      <c r="G101" s="37">
        <v>300</v>
      </c>
      <c r="H101" s="9">
        <f t="shared" si="1"/>
        <v>1222</v>
      </c>
    </row>
    <row r="102" spans="1:9" x14ac:dyDescent="0.25">
      <c r="A102" s="33">
        <v>96</v>
      </c>
      <c r="B102" s="38">
        <v>46017</v>
      </c>
      <c r="C102" s="39" t="s">
        <v>418</v>
      </c>
      <c r="D102" s="39" t="s">
        <v>419</v>
      </c>
      <c r="E102" s="39" t="s">
        <v>43</v>
      </c>
      <c r="F102" s="40">
        <v>1767</v>
      </c>
      <c r="G102" s="41">
        <v>300</v>
      </c>
      <c r="H102" s="9">
        <f t="shared" si="1"/>
        <v>1467</v>
      </c>
    </row>
    <row r="103" spans="1:9" x14ac:dyDescent="0.25">
      <c r="A103" s="33">
        <v>97</v>
      </c>
      <c r="B103" s="34">
        <v>46017</v>
      </c>
      <c r="C103" s="35" t="s">
        <v>390</v>
      </c>
      <c r="D103" s="35" t="s">
        <v>391</v>
      </c>
      <c r="E103" s="35" t="s">
        <v>41</v>
      </c>
      <c r="F103" s="36">
        <v>0</v>
      </c>
      <c r="G103" s="37">
        <v>0</v>
      </c>
      <c r="H103" s="9">
        <f t="shared" si="1"/>
        <v>0</v>
      </c>
    </row>
    <row r="104" spans="1:9" x14ac:dyDescent="0.25">
      <c r="A104" s="33">
        <v>98</v>
      </c>
      <c r="B104" s="38">
        <v>46017</v>
      </c>
      <c r="C104" s="39" t="s">
        <v>392</v>
      </c>
      <c r="D104" s="39" t="s">
        <v>59</v>
      </c>
      <c r="E104" s="39" t="s">
        <v>41</v>
      </c>
      <c r="F104" s="40">
        <v>24</v>
      </c>
      <c r="G104" s="41">
        <v>0</v>
      </c>
      <c r="H104" s="9">
        <f t="shared" si="1"/>
        <v>24</v>
      </c>
    </row>
    <row r="105" spans="1:9" x14ac:dyDescent="0.25">
      <c r="A105" s="33">
        <v>99</v>
      </c>
      <c r="B105" s="34">
        <v>46018</v>
      </c>
      <c r="C105" s="35" t="s">
        <v>393</v>
      </c>
      <c r="D105" s="35" t="s">
        <v>394</v>
      </c>
      <c r="E105" s="35" t="s">
        <v>43</v>
      </c>
      <c r="F105" s="36">
        <v>166</v>
      </c>
      <c r="G105" s="37">
        <v>0</v>
      </c>
      <c r="H105" s="9">
        <f t="shared" si="1"/>
        <v>166</v>
      </c>
    </row>
    <row r="106" spans="1:9" x14ac:dyDescent="0.25">
      <c r="A106" s="33">
        <v>100</v>
      </c>
      <c r="B106" s="38">
        <v>46018</v>
      </c>
      <c r="C106" s="39" t="s">
        <v>395</v>
      </c>
      <c r="D106" s="39" t="s">
        <v>396</v>
      </c>
      <c r="E106" s="39" t="s">
        <v>41</v>
      </c>
      <c r="F106" s="40">
        <v>199</v>
      </c>
      <c r="G106" s="41">
        <v>100</v>
      </c>
      <c r="H106" s="9">
        <f t="shared" si="1"/>
        <v>99</v>
      </c>
    </row>
    <row r="107" spans="1:9" x14ac:dyDescent="0.25">
      <c r="A107" s="33">
        <v>101</v>
      </c>
      <c r="B107" s="34">
        <v>46020</v>
      </c>
      <c r="C107" s="35" t="s">
        <v>397</v>
      </c>
      <c r="D107" s="35" t="s">
        <v>326</v>
      </c>
      <c r="E107" s="35" t="s">
        <v>41</v>
      </c>
      <c r="F107" s="36">
        <v>148</v>
      </c>
      <c r="G107" s="37">
        <v>100</v>
      </c>
      <c r="H107" s="9">
        <f t="shared" si="1"/>
        <v>48</v>
      </c>
    </row>
    <row r="108" spans="1:9" x14ac:dyDescent="0.25">
      <c r="A108" s="33">
        <v>102</v>
      </c>
      <c r="B108" s="38">
        <v>46022</v>
      </c>
      <c r="C108" s="39" t="s">
        <v>398</v>
      </c>
      <c r="D108" s="39" t="s">
        <v>399</v>
      </c>
      <c r="E108" s="39" t="s">
        <v>41</v>
      </c>
      <c r="F108" s="40">
        <v>2068</v>
      </c>
      <c r="G108" s="41">
        <v>300</v>
      </c>
      <c r="H108" s="9">
        <f t="shared" si="1"/>
        <v>1768</v>
      </c>
    </row>
    <row r="109" spans="1:9" x14ac:dyDescent="0.25">
      <c r="A109" s="33">
        <v>103</v>
      </c>
      <c r="B109" s="34">
        <v>46022</v>
      </c>
      <c r="C109" s="35" t="s">
        <v>400</v>
      </c>
      <c r="D109" s="35" t="s">
        <v>401</v>
      </c>
      <c r="E109" s="35" t="s">
        <v>41</v>
      </c>
      <c r="F109" s="36">
        <v>500</v>
      </c>
      <c r="G109" s="37">
        <v>0</v>
      </c>
      <c r="H109" s="9">
        <f t="shared" si="1"/>
        <v>500</v>
      </c>
    </row>
    <row r="110" spans="1:9" x14ac:dyDescent="0.25">
      <c r="A110" s="33">
        <v>104</v>
      </c>
      <c r="B110" s="38">
        <v>46022</v>
      </c>
      <c r="C110" s="39" t="s">
        <v>402</v>
      </c>
      <c r="D110" s="39" t="s">
        <v>118</v>
      </c>
      <c r="E110" s="39" t="s">
        <v>41</v>
      </c>
      <c r="F110" s="40">
        <v>0</v>
      </c>
      <c r="G110" s="41">
        <v>0</v>
      </c>
      <c r="H110" s="9">
        <f t="shared" si="1"/>
        <v>0</v>
      </c>
    </row>
    <row r="111" spans="1:9" x14ac:dyDescent="0.25">
      <c r="A111" s="33">
        <v>105</v>
      </c>
      <c r="B111" s="34">
        <v>46022</v>
      </c>
      <c r="C111" s="35" t="s">
        <v>403</v>
      </c>
      <c r="D111" s="35" t="s">
        <v>404</v>
      </c>
      <c r="E111" s="35" t="s">
        <v>41</v>
      </c>
      <c r="F111" s="36">
        <v>2310</v>
      </c>
      <c r="G111" s="37">
        <v>300</v>
      </c>
      <c r="H111" s="9">
        <f t="shared" si="1"/>
        <v>2010</v>
      </c>
    </row>
    <row r="112" spans="1:9" x14ac:dyDescent="0.25">
      <c r="A112" s="33">
        <v>106</v>
      </c>
      <c r="B112" s="38">
        <v>46022</v>
      </c>
      <c r="C112" s="39" t="s">
        <v>405</v>
      </c>
      <c r="D112" s="39" t="s">
        <v>12</v>
      </c>
      <c r="E112" s="39" t="s">
        <v>103</v>
      </c>
      <c r="F112" s="40">
        <v>500</v>
      </c>
      <c r="G112" s="41">
        <v>0</v>
      </c>
      <c r="H112" s="9">
        <f t="shared" si="1"/>
        <v>500</v>
      </c>
    </row>
    <row r="113" spans="1:8" x14ac:dyDescent="0.25">
      <c r="A113" s="33">
        <v>107</v>
      </c>
      <c r="B113" s="34">
        <v>46022</v>
      </c>
      <c r="C113" s="35" t="s">
        <v>406</v>
      </c>
      <c r="D113" s="35" t="s">
        <v>24</v>
      </c>
      <c r="E113" s="35" t="s">
        <v>41</v>
      </c>
      <c r="F113" s="36">
        <v>980</v>
      </c>
      <c r="G113" s="37">
        <v>0</v>
      </c>
      <c r="H113" s="9">
        <f t="shared" si="1"/>
        <v>980</v>
      </c>
    </row>
    <row r="114" spans="1:8" x14ac:dyDescent="0.25">
      <c r="A114" s="33">
        <v>108</v>
      </c>
      <c r="B114" s="38">
        <v>46022</v>
      </c>
      <c r="C114" s="39" t="s">
        <v>407</v>
      </c>
      <c r="D114" s="39" t="s">
        <v>21</v>
      </c>
      <c r="E114" s="39" t="s">
        <v>41</v>
      </c>
      <c r="F114" s="40">
        <v>500</v>
      </c>
      <c r="G114" s="41">
        <v>200</v>
      </c>
      <c r="H114" s="9">
        <f t="shared" si="1"/>
        <v>300</v>
      </c>
    </row>
    <row r="115" spans="1:8" x14ac:dyDescent="0.25">
      <c r="A115" s="33">
        <v>109</v>
      </c>
      <c r="B115" s="34">
        <v>46022</v>
      </c>
      <c r="C115" s="35" t="s">
        <v>408</v>
      </c>
      <c r="D115" s="35" t="s">
        <v>95</v>
      </c>
      <c r="E115" s="35" t="s">
        <v>41</v>
      </c>
      <c r="F115" s="36">
        <v>150</v>
      </c>
      <c r="G115" s="37">
        <v>0</v>
      </c>
      <c r="H115" s="9">
        <f t="shared" si="1"/>
        <v>150</v>
      </c>
    </row>
    <row r="116" spans="1:8" x14ac:dyDescent="0.25">
      <c r="A116" s="33">
        <v>110</v>
      </c>
      <c r="B116" s="38">
        <v>46022</v>
      </c>
      <c r="C116" s="39" t="s">
        <v>409</v>
      </c>
      <c r="D116" s="39" t="s">
        <v>59</v>
      </c>
      <c r="E116" s="39" t="s">
        <v>41</v>
      </c>
      <c r="F116" s="40">
        <v>12</v>
      </c>
      <c r="G116" s="41">
        <v>0</v>
      </c>
      <c r="H116" s="9">
        <f t="shared" si="1"/>
        <v>12</v>
      </c>
    </row>
    <row r="117" spans="1:8" x14ac:dyDescent="0.25">
      <c r="A117" s="33">
        <v>111</v>
      </c>
      <c r="B117" s="34">
        <v>46022</v>
      </c>
      <c r="C117" s="35" t="s">
        <v>410</v>
      </c>
      <c r="D117" s="35" t="s">
        <v>11</v>
      </c>
      <c r="E117" s="35" t="s">
        <v>41</v>
      </c>
      <c r="F117" s="36">
        <v>85</v>
      </c>
      <c r="G117" s="37">
        <v>0</v>
      </c>
      <c r="H117" s="9">
        <f t="shared" si="1"/>
        <v>85</v>
      </c>
    </row>
    <row r="118" spans="1:8" x14ac:dyDescent="0.25">
      <c r="A118" s="33">
        <v>112</v>
      </c>
      <c r="B118" s="38">
        <v>46022</v>
      </c>
      <c r="C118" s="39" t="s">
        <v>411</v>
      </c>
      <c r="D118" s="39" t="s">
        <v>22</v>
      </c>
      <c r="E118" s="39" t="s">
        <v>41</v>
      </c>
      <c r="F118" s="40">
        <v>250</v>
      </c>
      <c r="G118" s="41">
        <v>0</v>
      </c>
      <c r="H118" s="9">
        <f t="shared" si="1"/>
        <v>250</v>
      </c>
    </row>
    <row r="119" spans="1:8" ht="21" x14ac:dyDescent="0.25">
      <c r="A119" s="22" t="s">
        <v>15</v>
      </c>
      <c r="B119" s="18">
        <v>107</v>
      </c>
      <c r="C119" s="23"/>
      <c r="D119" s="15"/>
      <c r="E119" s="15"/>
      <c r="F119" s="19">
        <f>SUM(F7:F118)</f>
        <v>108530.09999999999</v>
      </c>
      <c r="G119" s="16">
        <f>SUM(G7:G118)</f>
        <v>11900</v>
      </c>
      <c r="H119" s="17">
        <f>SUM(H7:H118)</f>
        <v>96630.099999999991</v>
      </c>
    </row>
    <row r="120" spans="1:8" ht="8.25" customHeight="1" x14ac:dyDescent="0.25">
      <c r="A120" s="2"/>
      <c r="B120" s="11"/>
      <c r="C120" s="11"/>
      <c r="D120" s="12"/>
      <c r="E120" s="12"/>
      <c r="F120" s="13"/>
      <c r="G120" s="14"/>
      <c r="H120" s="10"/>
    </row>
    <row r="121" spans="1:8" hidden="1" x14ac:dyDescent="0.25">
      <c r="A121" s="2"/>
      <c r="B121" s="11"/>
      <c r="C121" s="11"/>
      <c r="D121" s="12"/>
      <c r="E121" s="12"/>
      <c r="F121" s="13"/>
      <c r="G121" s="14"/>
      <c r="H121" s="10"/>
    </row>
    <row r="122" spans="1:8" ht="11.25" customHeight="1" x14ac:dyDescent="0.25"/>
    <row r="124" spans="1:8" x14ac:dyDescent="0.25">
      <c r="D124" s="26" t="s">
        <v>76</v>
      </c>
      <c r="E124" s="27">
        <f>H119</f>
        <v>96630.099999999991</v>
      </c>
      <c r="F124" s="68" t="s">
        <v>97</v>
      </c>
      <c r="G124" s="68"/>
      <c r="H124" s="28">
        <v>500</v>
      </c>
    </row>
    <row r="125" spans="1:8" x14ac:dyDescent="0.25">
      <c r="D125" s="26" t="s">
        <v>16</v>
      </c>
      <c r="E125" s="27"/>
      <c r="F125" s="24"/>
      <c r="G125" s="24"/>
      <c r="H125" s="28"/>
    </row>
    <row r="126" spans="1:8" x14ac:dyDescent="0.25">
      <c r="D126" s="26" t="s">
        <v>17</v>
      </c>
      <c r="E126" s="27">
        <v>96000</v>
      </c>
      <c r="F126" s="68"/>
      <c r="G126" s="68"/>
      <c r="H126" s="28"/>
    </row>
    <row r="127" spans="1:8" ht="30" customHeight="1" x14ac:dyDescent="0.25">
      <c r="D127" s="26" t="s">
        <v>77</v>
      </c>
      <c r="E127" s="27">
        <f>E124-E125-E126</f>
        <v>630.09999999999127</v>
      </c>
      <c r="F127" s="70" t="s">
        <v>190</v>
      </c>
      <c r="G127" s="68"/>
      <c r="H127" s="28">
        <v>12.6</v>
      </c>
    </row>
    <row r="128" spans="1:8" x14ac:dyDescent="0.25">
      <c r="F128" s="65" t="s">
        <v>47</v>
      </c>
      <c r="G128" s="65"/>
      <c r="H128" s="30">
        <f>H124+H127</f>
        <v>512.6</v>
      </c>
    </row>
    <row r="130" spans="2:8" x14ac:dyDescent="0.25">
      <c r="B130" s="67" t="s">
        <v>78</v>
      </c>
      <c r="C130" s="67"/>
      <c r="D130" s="67" t="s">
        <v>79</v>
      </c>
      <c r="E130" s="67"/>
      <c r="G130" s="25" t="s">
        <v>80</v>
      </c>
    </row>
    <row r="131" spans="2:8" x14ac:dyDescent="0.25">
      <c r="B131" s="29"/>
      <c r="C131" s="29"/>
      <c r="D131" s="29"/>
      <c r="E131" s="29"/>
      <c r="G131" s="25"/>
    </row>
    <row r="133" spans="2:8" x14ac:dyDescent="0.25">
      <c r="B133" s="66" t="s">
        <v>81</v>
      </c>
      <c r="C133" s="66"/>
      <c r="D133" s="66" t="s">
        <v>82</v>
      </c>
      <c r="E133" s="66"/>
      <c r="F133" s="66" t="s">
        <v>83</v>
      </c>
      <c r="G133" s="66"/>
      <c r="H133" s="66"/>
    </row>
    <row r="134" spans="2:8" x14ac:dyDescent="0.25">
      <c r="B134" s="66" t="s">
        <v>86</v>
      </c>
      <c r="C134" s="66"/>
      <c r="D134" s="66" t="s">
        <v>84</v>
      </c>
      <c r="E134" s="66"/>
      <c r="F134" s="66" t="s">
        <v>85</v>
      </c>
      <c r="G134" s="66"/>
      <c r="H134" s="66"/>
    </row>
    <row r="135" spans="2:8" x14ac:dyDescent="0.25">
      <c r="B135" s="69">
        <v>46024</v>
      </c>
      <c r="C135" s="66"/>
    </row>
  </sheetData>
  <mergeCells count="15">
    <mergeCell ref="F133:H133"/>
    <mergeCell ref="B134:C134"/>
    <mergeCell ref="D134:E134"/>
    <mergeCell ref="F134:H134"/>
    <mergeCell ref="A3:D3"/>
    <mergeCell ref="A4:D4"/>
    <mergeCell ref="F124:G124"/>
    <mergeCell ref="F126:G126"/>
    <mergeCell ref="F127:G127"/>
    <mergeCell ref="F128:G128"/>
    <mergeCell ref="B135:C135"/>
    <mergeCell ref="B130:C130"/>
    <mergeCell ref="D130:E130"/>
    <mergeCell ref="B133:C133"/>
    <mergeCell ref="D133:E133"/>
  </mergeCells>
  <pageMargins left="1.3779527559055118" right="0.98425196850393704" top="0.98425196850393704" bottom="0.98425196850393704" header="0.51181102362204722" footer="0.51181102362204722"/>
  <pageSetup paperSize="9" scale="78" fitToHeight="0" orientation="landscape" r:id="rId1"/>
  <rowBreaks count="3" manualBreakCount="3">
    <brk id="39" max="7" man="1"/>
    <brk id="79" max="7" man="1"/>
    <brk id="10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7A09-7FBA-4028-A167-6F5B72F4999D}">
  <sheetPr>
    <pageSetUpPr fitToPage="1"/>
  </sheetPr>
  <dimension ref="A3:I99"/>
  <sheetViews>
    <sheetView zoomScaleNormal="100" zoomScaleSheetLayoutView="100" workbookViewId="0">
      <selection activeCell="L91" sqref="L91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  <col min="9" max="9" width="11.140625" customWidth="1"/>
  </cols>
  <sheetData>
    <row r="3" spans="1:9" x14ac:dyDescent="0.25">
      <c r="A3" s="64" t="s">
        <v>422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51" t="s">
        <v>516</v>
      </c>
    </row>
    <row r="7" spans="1:9" x14ac:dyDescent="0.25">
      <c r="A7" s="42">
        <v>1</v>
      </c>
      <c r="B7" s="43">
        <v>46024</v>
      </c>
      <c r="C7" s="44" t="s">
        <v>467</v>
      </c>
      <c r="D7" s="44" t="s">
        <v>468</v>
      </c>
      <c r="E7" s="44" t="s">
        <v>41</v>
      </c>
      <c r="F7" s="45">
        <v>461.82</v>
      </c>
      <c r="G7" s="46">
        <v>200</v>
      </c>
      <c r="H7" s="9">
        <f>F7-G7</f>
        <v>261.82</v>
      </c>
      <c r="I7" s="52">
        <v>14.82</v>
      </c>
    </row>
    <row r="8" spans="1:9" x14ac:dyDescent="0.25">
      <c r="A8" s="42">
        <v>2</v>
      </c>
      <c r="B8" s="47">
        <v>46027</v>
      </c>
      <c r="C8" s="48" t="s">
        <v>465</v>
      </c>
      <c r="D8" s="48" t="s">
        <v>59</v>
      </c>
      <c r="E8" s="48" t="s">
        <v>41</v>
      </c>
      <c r="F8" s="49">
        <v>130</v>
      </c>
      <c r="G8" s="50">
        <v>100</v>
      </c>
      <c r="H8" s="9">
        <f t="shared" ref="H8:H71" si="0">F8-G8</f>
        <v>30</v>
      </c>
      <c r="I8" s="52">
        <v>0</v>
      </c>
    </row>
    <row r="9" spans="1:9" x14ac:dyDescent="0.25">
      <c r="A9" s="42">
        <v>3</v>
      </c>
      <c r="B9" s="43">
        <v>46027</v>
      </c>
      <c r="C9" s="44" t="s">
        <v>423</v>
      </c>
      <c r="D9" s="44" t="s">
        <v>35</v>
      </c>
      <c r="E9" s="44" t="s">
        <v>41</v>
      </c>
      <c r="F9" s="45">
        <v>0</v>
      </c>
      <c r="G9" s="46">
        <v>0</v>
      </c>
      <c r="H9" s="9">
        <f t="shared" si="0"/>
        <v>0</v>
      </c>
      <c r="I9" s="52">
        <v>0</v>
      </c>
    </row>
    <row r="10" spans="1:9" x14ac:dyDescent="0.25">
      <c r="A10" s="42">
        <v>4</v>
      </c>
      <c r="B10" s="47">
        <v>46028</v>
      </c>
      <c r="C10" s="48" t="s">
        <v>424</v>
      </c>
      <c r="D10" s="48" t="s">
        <v>50</v>
      </c>
      <c r="E10" s="48" t="s">
        <v>41</v>
      </c>
      <c r="F10" s="49">
        <v>7084.4</v>
      </c>
      <c r="G10" s="50">
        <v>0</v>
      </c>
      <c r="H10" s="9">
        <f t="shared" si="0"/>
        <v>7084.4</v>
      </c>
      <c r="I10" s="53">
        <v>344.4</v>
      </c>
    </row>
    <row r="11" spans="1:9" x14ac:dyDescent="0.25">
      <c r="A11" s="42">
        <v>5</v>
      </c>
      <c r="B11" s="43">
        <v>46028</v>
      </c>
      <c r="C11" s="44" t="s">
        <v>513</v>
      </c>
      <c r="D11" s="44" t="s">
        <v>514</v>
      </c>
      <c r="E11" s="44" t="s">
        <v>41</v>
      </c>
      <c r="F11" s="45">
        <v>4868</v>
      </c>
      <c r="G11" s="46">
        <v>700</v>
      </c>
      <c r="H11" s="9">
        <f t="shared" si="0"/>
        <v>4168</v>
      </c>
      <c r="I11" s="52">
        <v>231.4</v>
      </c>
    </row>
    <row r="12" spans="1:9" x14ac:dyDescent="0.25">
      <c r="A12" s="42">
        <v>6</v>
      </c>
      <c r="B12" s="47">
        <v>46028</v>
      </c>
      <c r="C12" s="48" t="s">
        <v>492</v>
      </c>
      <c r="D12" s="48" t="s">
        <v>493</v>
      </c>
      <c r="E12" s="48" t="s">
        <v>41</v>
      </c>
      <c r="F12" s="49">
        <v>724</v>
      </c>
      <c r="G12" s="50">
        <v>300</v>
      </c>
      <c r="H12" s="9">
        <f t="shared" si="0"/>
        <v>424</v>
      </c>
      <c r="I12" s="52">
        <v>24</v>
      </c>
    </row>
    <row r="13" spans="1:9" x14ac:dyDescent="0.25">
      <c r="A13" s="42">
        <v>7</v>
      </c>
      <c r="B13" s="43">
        <v>46028</v>
      </c>
      <c r="C13" s="44" t="s">
        <v>494</v>
      </c>
      <c r="D13" s="44" t="s">
        <v>51</v>
      </c>
      <c r="E13" s="44" t="s">
        <v>41</v>
      </c>
      <c r="F13" s="45">
        <v>414.48</v>
      </c>
      <c r="G13" s="46">
        <v>300</v>
      </c>
      <c r="H13" s="9">
        <f t="shared" si="0"/>
        <v>114.48000000000002</v>
      </c>
      <c r="I13" s="52">
        <v>6.48</v>
      </c>
    </row>
    <row r="14" spans="1:9" x14ac:dyDescent="0.25">
      <c r="A14" s="42">
        <v>8</v>
      </c>
      <c r="B14" s="47">
        <v>46029</v>
      </c>
      <c r="C14" s="48" t="s">
        <v>469</v>
      </c>
      <c r="D14" s="48" t="s">
        <v>49</v>
      </c>
      <c r="E14" s="48" t="s">
        <v>41</v>
      </c>
      <c r="F14" s="49">
        <v>289.04000000000002</v>
      </c>
      <c r="G14" s="50">
        <v>200</v>
      </c>
      <c r="H14" s="9">
        <f t="shared" si="0"/>
        <v>89.04000000000002</v>
      </c>
      <c r="I14" s="52">
        <v>5.04</v>
      </c>
    </row>
    <row r="15" spans="1:9" x14ac:dyDescent="0.25">
      <c r="A15" s="42">
        <v>9</v>
      </c>
      <c r="B15" s="43">
        <v>46029</v>
      </c>
      <c r="C15" s="44" t="s">
        <v>470</v>
      </c>
      <c r="D15" s="44" t="s">
        <v>471</v>
      </c>
      <c r="E15" s="44" t="s">
        <v>41</v>
      </c>
      <c r="F15" s="45">
        <v>471.36</v>
      </c>
      <c r="G15" s="46">
        <v>200</v>
      </c>
      <c r="H15" s="9">
        <f t="shared" si="0"/>
        <v>271.36</v>
      </c>
      <c r="I15" s="52">
        <v>15.36</v>
      </c>
    </row>
    <row r="16" spans="1:9" x14ac:dyDescent="0.25">
      <c r="A16" s="42">
        <v>10</v>
      </c>
      <c r="B16" s="47">
        <v>46030</v>
      </c>
      <c r="C16" s="48" t="s">
        <v>472</v>
      </c>
      <c r="D16" s="48" t="s">
        <v>57</v>
      </c>
      <c r="E16" s="48" t="s">
        <v>41</v>
      </c>
      <c r="F16" s="49">
        <v>1858</v>
      </c>
      <c r="G16" s="50">
        <v>200</v>
      </c>
      <c r="H16" s="9">
        <f t="shared" si="0"/>
        <v>1658</v>
      </c>
      <c r="I16" s="52">
        <v>78</v>
      </c>
    </row>
    <row r="17" spans="1:9" x14ac:dyDescent="0.25">
      <c r="A17" s="42">
        <v>11</v>
      </c>
      <c r="B17" s="43">
        <v>46030</v>
      </c>
      <c r="C17" s="44" t="s">
        <v>425</v>
      </c>
      <c r="D17" s="44" t="s">
        <v>93</v>
      </c>
      <c r="E17" s="44" t="s">
        <v>41</v>
      </c>
      <c r="F17" s="45">
        <v>456.86</v>
      </c>
      <c r="G17" s="46">
        <v>0</v>
      </c>
      <c r="H17" s="9">
        <f t="shared" si="0"/>
        <v>456.86</v>
      </c>
      <c r="I17" s="52">
        <v>25.86</v>
      </c>
    </row>
    <row r="18" spans="1:9" x14ac:dyDescent="0.25">
      <c r="A18" s="42">
        <v>12</v>
      </c>
      <c r="B18" s="47">
        <v>46030</v>
      </c>
      <c r="C18" s="48" t="s">
        <v>473</v>
      </c>
      <c r="D18" s="48" t="s">
        <v>22</v>
      </c>
      <c r="E18" s="48" t="s">
        <v>41</v>
      </c>
      <c r="F18" s="49">
        <v>325.08</v>
      </c>
      <c r="G18" s="50">
        <v>200</v>
      </c>
      <c r="H18" s="9">
        <f t="shared" si="0"/>
        <v>125.07999999999998</v>
      </c>
      <c r="I18" s="52">
        <v>7.08</v>
      </c>
    </row>
    <row r="19" spans="1:9" x14ac:dyDescent="0.25">
      <c r="A19" s="42">
        <v>13</v>
      </c>
      <c r="B19" s="43">
        <v>46030</v>
      </c>
      <c r="C19" s="44" t="s">
        <v>426</v>
      </c>
      <c r="D19" s="44" t="s">
        <v>59</v>
      </c>
      <c r="E19" s="44" t="s">
        <v>41</v>
      </c>
      <c r="F19" s="45">
        <v>31.8</v>
      </c>
      <c r="G19" s="46">
        <v>0</v>
      </c>
      <c r="H19" s="9">
        <f t="shared" si="0"/>
        <v>31.8</v>
      </c>
      <c r="I19" s="52">
        <v>1.8</v>
      </c>
    </row>
    <row r="20" spans="1:9" x14ac:dyDescent="0.25">
      <c r="A20" s="42">
        <v>14</v>
      </c>
      <c r="B20" s="47">
        <v>46030</v>
      </c>
      <c r="C20" s="48" t="s">
        <v>427</v>
      </c>
      <c r="D20" s="48" t="s">
        <v>93</v>
      </c>
      <c r="E20" s="48" t="s">
        <v>41</v>
      </c>
      <c r="F20" s="49">
        <v>69.959999999999994</v>
      </c>
      <c r="G20" s="50">
        <v>0</v>
      </c>
      <c r="H20" s="9">
        <f t="shared" si="0"/>
        <v>69.959999999999994</v>
      </c>
      <c r="I20" s="52">
        <v>3.96</v>
      </c>
    </row>
    <row r="21" spans="1:9" x14ac:dyDescent="0.25">
      <c r="A21" s="42">
        <v>15</v>
      </c>
      <c r="B21" s="43">
        <v>46031</v>
      </c>
      <c r="C21" s="44" t="s">
        <v>495</v>
      </c>
      <c r="D21" s="44" t="s">
        <v>496</v>
      </c>
      <c r="E21" s="44" t="s">
        <v>41</v>
      </c>
      <c r="F21" s="45">
        <v>724</v>
      </c>
      <c r="G21" s="46">
        <v>300</v>
      </c>
      <c r="H21" s="9">
        <f t="shared" si="0"/>
        <v>424</v>
      </c>
      <c r="I21" s="52">
        <v>24</v>
      </c>
    </row>
    <row r="22" spans="1:9" x14ac:dyDescent="0.25">
      <c r="A22" s="42">
        <v>16</v>
      </c>
      <c r="B22" s="47">
        <v>46031</v>
      </c>
      <c r="C22" s="48" t="s">
        <v>497</v>
      </c>
      <c r="D22" s="48" t="s">
        <v>29</v>
      </c>
      <c r="E22" s="48" t="s">
        <v>41</v>
      </c>
      <c r="F22" s="49">
        <v>1955.6</v>
      </c>
      <c r="G22" s="50">
        <v>300</v>
      </c>
      <c r="H22" s="9">
        <f t="shared" si="0"/>
        <v>1655.6</v>
      </c>
      <c r="I22" s="52">
        <v>75.599999999999994</v>
      </c>
    </row>
    <row r="23" spans="1:9" x14ac:dyDescent="0.25">
      <c r="A23" s="42">
        <v>17</v>
      </c>
      <c r="B23" s="43">
        <v>46032</v>
      </c>
      <c r="C23" s="44" t="s">
        <v>498</v>
      </c>
      <c r="D23" s="44" t="s">
        <v>499</v>
      </c>
      <c r="E23" s="44" t="s">
        <v>41</v>
      </c>
      <c r="F23" s="45">
        <v>633.9</v>
      </c>
      <c r="G23" s="46">
        <v>300</v>
      </c>
      <c r="H23" s="9">
        <f t="shared" si="0"/>
        <v>333.9</v>
      </c>
      <c r="I23" s="52">
        <v>18.899999999999999</v>
      </c>
    </row>
    <row r="24" spans="1:9" x14ac:dyDescent="0.25">
      <c r="A24" s="42">
        <v>18</v>
      </c>
      <c r="B24" s="47">
        <v>46032</v>
      </c>
      <c r="C24" s="48" t="s">
        <v>428</v>
      </c>
      <c r="D24" s="48" t="s">
        <v>105</v>
      </c>
      <c r="E24" s="48" t="s">
        <v>41</v>
      </c>
      <c r="F24" s="49">
        <v>339.2</v>
      </c>
      <c r="G24" s="50">
        <v>0</v>
      </c>
      <c r="H24" s="9">
        <f t="shared" si="0"/>
        <v>339.2</v>
      </c>
      <c r="I24" s="52">
        <v>19.2</v>
      </c>
    </row>
    <row r="25" spans="1:9" x14ac:dyDescent="0.25">
      <c r="A25" s="42">
        <v>19</v>
      </c>
      <c r="B25" s="43">
        <v>46032</v>
      </c>
      <c r="C25" s="44" t="s">
        <v>474</v>
      </c>
      <c r="D25" s="44" t="s">
        <v>38</v>
      </c>
      <c r="E25" s="44" t="s">
        <v>41</v>
      </c>
      <c r="F25" s="45">
        <v>475.6</v>
      </c>
      <c r="G25" s="46">
        <v>200</v>
      </c>
      <c r="H25" s="9">
        <f t="shared" si="0"/>
        <v>275.60000000000002</v>
      </c>
      <c r="I25" s="52">
        <v>15.6</v>
      </c>
    </row>
    <row r="26" spans="1:9" x14ac:dyDescent="0.25">
      <c r="A26" s="42">
        <v>20</v>
      </c>
      <c r="B26" s="47">
        <v>46032</v>
      </c>
      <c r="C26" s="48" t="s">
        <v>475</v>
      </c>
      <c r="D26" s="48" t="s">
        <v>7</v>
      </c>
      <c r="E26" s="48" t="s">
        <v>41</v>
      </c>
      <c r="F26" s="49">
        <v>234.98</v>
      </c>
      <c r="G26" s="50">
        <v>200</v>
      </c>
      <c r="H26" s="9">
        <f t="shared" si="0"/>
        <v>34.97999999999999</v>
      </c>
      <c r="I26" s="52">
        <v>1.98</v>
      </c>
    </row>
    <row r="27" spans="1:9" x14ac:dyDescent="0.25">
      <c r="A27" s="42">
        <v>21</v>
      </c>
      <c r="B27" s="43">
        <v>46033</v>
      </c>
      <c r="C27" s="44" t="s">
        <v>476</v>
      </c>
      <c r="D27" s="44" t="s">
        <v>18</v>
      </c>
      <c r="E27" s="44" t="s">
        <v>41</v>
      </c>
      <c r="F27" s="45">
        <v>290.10000000000002</v>
      </c>
      <c r="G27" s="46">
        <v>200</v>
      </c>
      <c r="H27" s="9">
        <f t="shared" si="0"/>
        <v>90.100000000000023</v>
      </c>
      <c r="I27" s="52">
        <v>5.0999999999999996</v>
      </c>
    </row>
    <row r="28" spans="1:9" x14ac:dyDescent="0.25">
      <c r="A28" s="42">
        <v>22</v>
      </c>
      <c r="B28" s="47">
        <v>46034</v>
      </c>
      <c r="C28" s="48" t="s">
        <v>429</v>
      </c>
      <c r="D28" s="48" t="s">
        <v>13</v>
      </c>
      <c r="E28" s="48" t="s">
        <v>41</v>
      </c>
      <c r="F28" s="49">
        <v>15353.06</v>
      </c>
      <c r="G28" s="50">
        <v>0</v>
      </c>
      <c r="H28" s="9">
        <f t="shared" si="0"/>
        <v>15353.06</v>
      </c>
      <c r="I28" s="52">
        <v>852.06</v>
      </c>
    </row>
    <row r="29" spans="1:9" x14ac:dyDescent="0.25">
      <c r="A29" s="42">
        <v>23</v>
      </c>
      <c r="B29" s="43">
        <v>46035</v>
      </c>
      <c r="C29" s="44" t="s">
        <v>500</v>
      </c>
      <c r="D29" s="44" t="s">
        <v>501</v>
      </c>
      <c r="E29" s="44" t="s">
        <v>41</v>
      </c>
      <c r="F29" s="45">
        <v>1718.3</v>
      </c>
      <c r="G29" s="46">
        <v>300</v>
      </c>
      <c r="H29" s="9">
        <f t="shared" si="0"/>
        <v>1418.3</v>
      </c>
      <c r="I29" s="52">
        <v>63.3</v>
      </c>
    </row>
    <row r="30" spans="1:9" x14ac:dyDescent="0.25">
      <c r="A30" s="42">
        <v>24</v>
      </c>
      <c r="B30" s="47">
        <v>46036</v>
      </c>
      <c r="C30" s="48" t="s">
        <v>477</v>
      </c>
      <c r="D30" s="48" t="s">
        <v>60</v>
      </c>
      <c r="E30" s="48" t="s">
        <v>41</v>
      </c>
      <c r="F30" s="49">
        <v>1152.94</v>
      </c>
      <c r="G30" s="50">
        <v>200</v>
      </c>
      <c r="H30" s="9">
        <f t="shared" si="0"/>
        <v>952.94</v>
      </c>
      <c r="I30" s="52">
        <v>53.94</v>
      </c>
    </row>
    <row r="31" spans="1:9" x14ac:dyDescent="0.25">
      <c r="A31" s="42">
        <v>25</v>
      </c>
      <c r="B31" s="43">
        <v>46036</v>
      </c>
      <c r="C31" s="44" t="s">
        <v>430</v>
      </c>
      <c r="D31" s="44" t="s">
        <v>39</v>
      </c>
      <c r="E31" s="44" t="s">
        <v>41</v>
      </c>
      <c r="F31" s="45">
        <v>642.02</v>
      </c>
      <c r="G31" s="46">
        <v>0</v>
      </c>
      <c r="H31" s="9">
        <f t="shared" si="0"/>
        <v>642.02</v>
      </c>
      <c r="I31" s="52">
        <v>28.42</v>
      </c>
    </row>
    <row r="32" spans="1:9" x14ac:dyDescent="0.25">
      <c r="A32" s="42">
        <v>26</v>
      </c>
      <c r="B32" s="47">
        <v>46036</v>
      </c>
      <c r="C32" s="48" t="s">
        <v>502</v>
      </c>
      <c r="D32" s="48" t="s">
        <v>29</v>
      </c>
      <c r="E32" s="48" t="s">
        <v>41</v>
      </c>
      <c r="F32" s="49">
        <v>3566.8</v>
      </c>
      <c r="G32" s="50">
        <v>300</v>
      </c>
      <c r="H32" s="9">
        <f t="shared" si="0"/>
        <v>3266.8</v>
      </c>
      <c r="I32" s="52">
        <v>166.8</v>
      </c>
    </row>
    <row r="33" spans="1:9" x14ac:dyDescent="0.25">
      <c r="A33" s="42">
        <v>27</v>
      </c>
      <c r="B33" s="43">
        <v>46036</v>
      </c>
      <c r="C33" s="44" t="s">
        <v>478</v>
      </c>
      <c r="D33" s="44" t="s">
        <v>33</v>
      </c>
      <c r="E33" s="44" t="s">
        <v>41</v>
      </c>
      <c r="F33" s="45">
        <v>1023.62</v>
      </c>
      <c r="G33" s="46">
        <v>200</v>
      </c>
      <c r="H33" s="9">
        <f t="shared" si="0"/>
        <v>823.62</v>
      </c>
      <c r="I33" s="52">
        <v>46.62</v>
      </c>
    </row>
    <row r="34" spans="1:9" x14ac:dyDescent="0.25">
      <c r="A34" s="42">
        <v>28</v>
      </c>
      <c r="B34" s="47">
        <v>46037</v>
      </c>
      <c r="C34" s="48" t="s">
        <v>479</v>
      </c>
      <c r="D34" s="48" t="s">
        <v>480</v>
      </c>
      <c r="E34" s="48" t="s">
        <v>41</v>
      </c>
      <c r="F34" s="49">
        <v>327.2</v>
      </c>
      <c r="G34" s="50">
        <v>200</v>
      </c>
      <c r="H34" s="9">
        <f t="shared" si="0"/>
        <v>127.19999999999999</v>
      </c>
      <c r="I34" s="52">
        <v>7.2</v>
      </c>
    </row>
    <row r="35" spans="1:9" x14ac:dyDescent="0.25">
      <c r="A35" s="42">
        <v>29</v>
      </c>
      <c r="B35" s="43">
        <v>46037</v>
      </c>
      <c r="C35" s="44" t="s">
        <v>431</v>
      </c>
      <c r="D35" s="44" t="s">
        <v>49</v>
      </c>
      <c r="E35" s="44" t="s">
        <v>41</v>
      </c>
      <c r="F35" s="45">
        <v>71.55</v>
      </c>
      <c r="G35" s="46">
        <v>0</v>
      </c>
      <c r="H35" s="9">
        <f t="shared" si="0"/>
        <v>71.55</v>
      </c>
      <c r="I35" s="52">
        <v>4.05</v>
      </c>
    </row>
    <row r="36" spans="1:9" x14ac:dyDescent="0.25">
      <c r="A36" s="42">
        <v>30</v>
      </c>
      <c r="B36" s="47">
        <v>46038</v>
      </c>
      <c r="C36" s="48" t="s">
        <v>503</v>
      </c>
      <c r="D36" s="48" t="s">
        <v>435</v>
      </c>
      <c r="E36" s="48" t="s">
        <v>41</v>
      </c>
      <c r="F36" s="49">
        <v>0</v>
      </c>
      <c r="G36" s="50">
        <v>0</v>
      </c>
      <c r="H36" s="9">
        <f t="shared" si="0"/>
        <v>0</v>
      </c>
      <c r="I36" s="52">
        <v>0</v>
      </c>
    </row>
    <row r="37" spans="1:9" x14ac:dyDescent="0.25">
      <c r="A37" s="42">
        <v>31</v>
      </c>
      <c r="B37" s="43">
        <v>46038</v>
      </c>
      <c r="C37" s="44" t="s">
        <v>432</v>
      </c>
      <c r="D37" s="44" t="s">
        <v>7</v>
      </c>
      <c r="E37" s="44" t="s">
        <v>41</v>
      </c>
      <c r="F37" s="45">
        <v>46.64</v>
      </c>
      <c r="G37" s="46">
        <v>0</v>
      </c>
      <c r="H37" s="9">
        <f t="shared" si="0"/>
        <v>46.64</v>
      </c>
      <c r="I37" s="52">
        <v>2.64</v>
      </c>
    </row>
    <row r="38" spans="1:9" x14ac:dyDescent="0.25">
      <c r="A38" s="42">
        <v>32</v>
      </c>
      <c r="B38" s="47">
        <v>46038</v>
      </c>
      <c r="C38" s="48" t="s">
        <v>504</v>
      </c>
      <c r="D38" s="48" t="s">
        <v>505</v>
      </c>
      <c r="E38" s="48" t="s">
        <v>41</v>
      </c>
      <c r="F38" s="49">
        <v>414.48</v>
      </c>
      <c r="G38" s="50">
        <v>300</v>
      </c>
      <c r="H38" s="9">
        <f t="shared" si="0"/>
        <v>114.48000000000002</v>
      </c>
      <c r="I38" s="52">
        <v>6.48</v>
      </c>
    </row>
    <row r="39" spans="1:9" x14ac:dyDescent="0.25">
      <c r="A39" s="42">
        <v>33</v>
      </c>
      <c r="B39" s="43">
        <v>46038</v>
      </c>
      <c r="C39" s="44" t="s">
        <v>433</v>
      </c>
      <c r="D39" s="44" t="s">
        <v>49</v>
      </c>
      <c r="E39" s="44" t="s">
        <v>41</v>
      </c>
      <c r="F39" s="45">
        <v>23.74</v>
      </c>
      <c r="G39" s="46">
        <v>0</v>
      </c>
      <c r="H39" s="9">
        <f t="shared" si="0"/>
        <v>23.74</v>
      </c>
      <c r="I39" s="52">
        <v>1.34</v>
      </c>
    </row>
    <row r="40" spans="1:9" x14ac:dyDescent="0.25">
      <c r="A40" s="42">
        <v>34</v>
      </c>
      <c r="B40" s="47">
        <v>46039</v>
      </c>
      <c r="C40" s="48" t="s">
        <v>434</v>
      </c>
      <c r="D40" s="48" t="s">
        <v>435</v>
      </c>
      <c r="E40" s="48" t="s">
        <v>41</v>
      </c>
      <c r="F40" s="49">
        <v>0</v>
      </c>
      <c r="G40" s="50">
        <v>0</v>
      </c>
      <c r="H40" s="9">
        <f t="shared" si="0"/>
        <v>0</v>
      </c>
      <c r="I40" s="52">
        <v>0</v>
      </c>
    </row>
    <row r="41" spans="1:9" x14ac:dyDescent="0.25">
      <c r="A41" s="42">
        <v>35</v>
      </c>
      <c r="B41" s="43">
        <v>46039</v>
      </c>
      <c r="C41" s="44" t="s">
        <v>436</v>
      </c>
      <c r="D41" s="44" t="s">
        <v>437</v>
      </c>
      <c r="E41" s="44" t="s">
        <v>41</v>
      </c>
      <c r="F41" s="45">
        <v>1051.52</v>
      </c>
      <c r="G41" s="46">
        <v>0</v>
      </c>
      <c r="H41" s="9">
        <f t="shared" si="0"/>
        <v>1051.52</v>
      </c>
      <c r="I41" s="52">
        <v>59.52</v>
      </c>
    </row>
    <row r="42" spans="1:9" x14ac:dyDescent="0.25">
      <c r="A42" s="42">
        <v>36</v>
      </c>
      <c r="B42" s="47">
        <v>46040</v>
      </c>
      <c r="C42" s="48" t="s">
        <v>481</v>
      </c>
      <c r="D42" s="48" t="s">
        <v>459</v>
      </c>
      <c r="E42" s="48" t="s">
        <v>41</v>
      </c>
      <c r="F42" s="49">
        <v>778.59</v>
      </c>
      <c r="G42" s="50">
        <v>200</v>
      </c>
      <c r="H42" s="9">
        <f t="shared" si="0"/>
        <v>578.59</v>
      </c>
      <c r="I42" s="52">
        <v>27.09</v>
      </c>
    </row>
    <row r="43" spans="1:9" x14ac:dyDescent="0.25">
      <c r="A43" s="42">
        <v>37</v>
      </c>
      <c r="B43" s="43">
        <v>46040</v>
      </c>
      <c r="C43" s="44" t="s">
        <v>438</v>
      </c>
      <c r="D43" s="44" t="s">
        <v>13</v>
      </c>
      <c r="E43" s="44" t="s">
        <v>41</v>
      </c>
      <c r="F43" s="45">
        <v>13268.4</v>
      </c>
      <c r="G43" s="46">
        <v>0</v>
      </c>
      <c r="H43" s="9">
        <f t="shared" si="0"/>
        <v>13268.4</v>
      </c>
      <c r="I43" s="52">
        <v>728.4</v>
      </c>
    </row>
    <row r="44" spans="1:9" x14ac:dyDescent="0.25">
      <c r="A44" s="42">
        <v>38</v>
      </c>
      <c r="B44" s="47">
        <v>46042</v>
      </c>
      <c r="C44" s="48" t="s">
        <v>506</v>
      </c>
      <c r="D44" s="48" t="s">
        <v>459</v>
      </c>
      <c r="E44" s="48" t="s">
        <v>41</v>
      </c>
      <c r="F44" s="49">
        <v>4337.2</v>
      </c>
      <c r="G44" s="50">
        <v>300</v>
      </c>
      <c r="H44" s="9">
        <f t="shared" si="0"/>
        <v>4037.2</v>
      </c>
      <c r="I44" s="52">
        <v>217.2</v>
      </c>
    </row>
    <row r="45" spans="1:9" x14ac:dyDescent="0.25">
      <c r="A45" s="42">
        <v>39</v>
      </c>
      <c r="B45" s="43">
        <v>46043</v>
      </c>
      <c r="C45" s="44" t="s">
        <v>439</v>
      </c>
      <c r="D45" s="44" t="s">
        <v>181</v>
      </c>
      <c r="E45" s="44" t="s">
        <v>41</v>
      </c>
      <c r="F45" s="45">
        <v>0</v>
      </c>
      <c r="G45" s="46">
        <v>0</v>
      </c>
      <c r="H45" s="9">
        <f t="shared" si="0"/>
        <v>0</v>
      </c>
      <c r="I45" s="54">
        <v>0</v>
      </c>
    </row>
    <row r="46" spans="1:9" x14ac:dyDescent="0.25">
      <c r="A46" s="42">
        <v>40</v>
      </c>
      <c r="B46" s="47">
        <v>46043</v>
      </c>
      <c r="C46" s="48" t="s">
        <v>440</v>
      </c>
      <c r="D46" s="48" t="s">
        <v>36</v>
      </c>
      <c r="E46" s="48" t="s">
        <v>41</v>
      </c>
      <c r="F46" s="49">
        <v>63.6</v>
      </c>
      <c r="G46" s="50">
        <v>0</v>
      </c>
      <c r="H46" s="9">
        <f t="shared" si="0"/>
        <v>63.6</v>
      </c>
      <c r="I46" s="52">
        <v>3.6</v>
      </c>
    </row>
    <row r="47" spans="1:9" x14ac:dyDescent="0.25">
      <c r="A47" s="42">
        <v>41</v>
      </c>
      <c r="B47" s="43">
        <v>46044</v>
      </c>
      <c r="C47" s="44" t="s">
        <v>441</v>
      </c>
      <c r="D47" s="44" t="s">
        <v>442</v>
      </c>
      <c r="E47" s="44" t="s">
        <v>56</v>
      </c>
      <c r="F47" s="45">
        <v>600</v>
      </c>
      <c r="G47" s="46">
        <v>0</v>
      </c>
      <c r="H47" s="9">
        <f t="shared" si="0"/>
        <v>600</v>
      </c>
      <c r="I47" s="52">
        <v>0</v>
      </c>
    </row>
    <row r="48" spans="1:9" x14ac:dyDescent="0.25">
      <c r="A48" s="42">
        <v>42</v>
      </c>
      <c r="B48" s="47">
        <v>46044</v>
      </c>
      <c r="C48" s="48" t="s">
        <v>482</v>
      </c>
      <c r="D48" s="48" t="s">
        <v>33</v>
      </c>
      <c r="E48" s="48" t="s">
        <v>41</v>
      </c>
      <c r="F48" s="49">
        <v>505.28</v>
      </c>
      <c r="G48" s="50">
        <v>200</v>
      </c>
      <c r="H48" s="9">
        <f t="shared" si="0"/>
        <v>305.27999999999997</v>
      </c>
      <c r="I48" s="52">
        <v>17.28</v>
      </c>
    </row>
    <row r="49" spans="1:9" x14ac:dyDescent="0.25">
      <c r="A49" s="42">
        <v>43</v>
      </c>
      <c r="B49" s="43">
        <v>46045</v>
      </c>
      <c r="C49" s="44" t="s">
        <v>443</v>
      </c>
      <c r="D49" s="44" t="s">
        <v>98</v>
      </c>
      <c r="E49" s="44" t="s">
        <v>41</v>
      </c>
      <c r="F49" s="45">
        <v>265</v>
      </c>
      <c r="G49" s="46">
        <v>0</v>
      </c>
      <c r="H49" s="9">
        <f t="shared" si="0"/>
        <v>265</v>
      </c>
      <c r="I49" s="52">
        <v>15</v>
      </c>
    </row>
    <row r="50" spans="1:9" x14ac:dyDescent="0.25">
      <c r="A50" s="42">
        <v>44</v>
      </c>
      <c r="B50" s="47">
        <v>46045</v>
      </c>
      <c r="C50" s="48" t="s">
        <v>507</v>
      </c>
      <c r="D50" s="48" t="s">
        <v>454</v>
      </c>
      <c r="E50" s="48" t="s">
        <v>41</v>
      </c>
      <c r="F50" s="49">
        <v>2531.4699999999998</v>
      </c>
      <c r="G50" s="50">
        <v>300</v>
      </c>
      <c r="H50" s="9">
        <f t="shared" si="0"/>
        <v>2231.4699999999998</v>
      </c>
      <c r="I50" s="52">
        <v>103.67</v>
      </c>
    </row>
    <row r="51" spans="1:9" x14ac:dyDescent="0.25">
      <c r="A51" s="42">
        <v>45</v>
      </c>
      <c r="B51" s="43">
        <v>46045</v>
      </c>
      <c r="C51" s="44" t="s">
        <v>512</v>
      </c>
      <c r="D51" s="44" t="s">
        <v>48</v>
      </c>
      <c r="E51" s="44" t="s">
        <v>41</v>
      </c>
      <c r="F51" s="45">
        <v>2515.7600000000002</v>
      </c>
      <c r="G51" s="46">
        <v>400</v>
      </c>
      <c r="H51" s="9">
        <f t="shared" si="0"/>
        <v>2115.7600000000002</v>
      </c>
      <c r="I51" s="52">
        <v>119.76</v>
      </c>
    </row>
    <row r="52" spans="1:9" x14ac:dyDescent="0.25">
      <c r="A52" s="42">
        <v>46</v>
      </c>
      <c r="B52" s="47">
        <v>46045</v>
      </c>
      <c r="C52" s="48" t="s">
        <v>444</v>
      </c>
      <c r="D52" s="48" t="s">
        <v>23</v>
      </c>
      <c r="E52" s="48" t="s">
        <v>41</v>
      </c>
      <c r="F52" s="49">
        <v>906.3</v>
      </c>
      <c r="G52" s="50">
        <v>0</v>
      </c>
      <c r="H52" s="9">
        <f t="shared" si="0"/>
        <v>906.3</v>
      </c>
      <c r="I52" s="52">
        <v>51.3</v>
      </c>
    </row>
    <row r="53" spans="1:9" x14ac:dyDescent="0.25">
      <c r="A53" s="42">
        <v>47</v>
      </c>
      <c r="B53" s="43">
        <v>46045</v>
      </c>
      <c r="C53" s="44" t="s">
        <v>445</v>
      </c>
      <c r="D53" s="44" t="s">
        <v>7</v>
      </c>
      <c r="E53" s="44" t="s">
        <v>41</v>
      </c>
      <c r="F53" s="45">
        <v>13.25</v>
      </c>
      <c r="G53" s="46">
        <v>0</v>
      </c>
      <c r="H53" s="9">
        <f t="shared" si="0"/>
        <v>13.25</v>
      </c>
      <c r="I53" s="52">
        <v>0.75</v>
      </c>
    </row>
    <row r="54" spans="1:9" x14ac:dyDescent="0.25">
      <c r="A54" s="42">
        <v>48</v>
      </c>
      <c r="B54" s="47">
        <v>46046</v>
      </c>
      <c r="C54" s="48" t="s">
        <v>446</v>
      </c>
      <c r="D54" s="48" t="s">
        <v>9</v>
      </c>
      <c r="E54" s="48" t="s">
        <v>41</v>
      </c>
      <c r="F54" s="49">
        <v>650</v>
      </c>
      <c r="G54" s="50">
        <v>0</v>
      </c>
      <c r="H54" s="9">
        <f t="shared" si="0"/>
        <v>650</v>
      </c>
      <c r="I54" s="52">
        <v>30</v>
      </c>
    </row>
    <row r="55" spans="1:9" x14ac:dyDescent="0.25">
      <c r="A55" s="42">
        <v>49</v>
      </c>
      <c r="B55" s="43">
        <v>46046</v>
      </c>
      <c r="C55" s="44" t="s">
        <v>447</v>
      </c>
      <c r="D55" s="44" t="s">
        <v>13</v>
      </c>
      <c r="E55" s="44" t="s">
        <v>41</v>
      </c>
      <c r="F55" s="45">
        <v>2424.6</v>
      </c>
      <c r="G55" s="46">
        <v>0</v>
      </c>
      <c r="H55" s="9">
        <f t="shared" si="0"/>
        <v>2424.6</v>
      </c>
      <c r="I55" s="52">
        <v>114.6</v>
      </c>
    </row>
    <row r="56" spans="1:9" x14ac:dyDescent="0.25">
      <c r="A56" s="42">
        <v>50</v>
      </c>
      <c r="B56" s="47">
        <v>46047</v>
      </c>
      <c r="C56" s="48" t="s">
        <v>508</v>
      </c>
      <c r="D56" s="48" t="s">
        <v>46</v>
      </c>
      <c r="E56" s="48" t="s">
        <v>41</v>
      </c>
      <c r="F56" s="49">
        <v>8766.24</v>
      </c>
      <c r="G56" s="50">
        <v>300</v>
      </c>
      <c r="H56" s="9">
        <f t="shared" si="0"/>
        <v>8466.24</v>
      </c>
      <c r="I56" s="52">
        <v>477.24</v>
      </c>
    </row>
    <row r="57" spans="1:9" x14ac:dyDescent="0.25">
      <c r="A57" s="42">
        <v>51</v>
      </c>
      <c r="B57" s="43">
        <v>46047</v>
      </c>
      <c r="C57" s="44" t="s">
        <v>448</v>
      </c>
      <c r="D57" s="44" t="s">
        <v>13</v>
      </c>
      <c r="E57" s="44" t="s">
        <v>41</v>
      </c>
      <c r="F57" s="45">
        <v>12926.74</v>
      </c>
      <c r="G57" s="46">
        <v>0</v>
      </c>
      <c r="H57" s="9">
        <f t="shared" si="0"/>
        <v>12926.74</v>
      </c>
      <c r="I57" s="52">
        <v>697.74</v>
      </c>
    </row>
    <row r="58" spans="1:9" x14ac:dyDescent="0.25">
      <c r="A58" s="42">
        <v>52</v>
      </c>
      <c r="B58" s="47">
        <v>46047</v>
      </c>
      <c r="C58" s="48" t="s">
        <v>483</v>
      </c>
      <c r="D58" s="48" t="s">
        <v>322</v>
      </c>
      <c r="E58" s="48" t="s">
        <v>41</v>
      </c>
      <c r="F58" s="49">
        <v>2066</v>
      </c>
      <c r="G58" s="50">
        <v>200</v>
      </c>
      <c r="H58" s="9">
        <f t="shared" si="0"/>
        <v>1866</v>
      </c>
      <c r="I58" s="52">
        <v>96</v>
      </c>
    </row>
    <row r="59" spans="1:9" x14ac:dyDescent="0.25">
      <c r="A59" s="42">
        <v>53</v>
      </c>
      <c r="B59" s="43">
        <v>46048</v>
      </c>
      <c r="C59" s="44" t="s">
        <v>509</v>
      </c>
      <c r="D59" s="44" t="s">
        <v>66</v>
      </c>
      <c r="E59" s="44" t="s">
        <v>41</v>
      </c>
      <c r="F59" s="45">
        <v>887.04</v>
      </c>
      <c r="G59" s="46">
        <v>300</v>
      </c>
      <c r="H59" s="9">
        <f t="shared" si="0"/>
        <v>587.04</v>
      </c>
      <c r="I59" s="52">
        <v>23.04</v>
      </c>
    </row>
    <row r="60" spans="1:9" x14ac:dyDescent="0.25">
      <c r="A60" s="42">
        <v>54</v>
      </c>
      <c r="B60" s="47">
        <v>46048</v>
      </c>
      <c r="C60" s="48" t="s">
        <v>449</v>
      </c>
      <c r="D60" s="48" t="s">
        <v>49</v>
      </c>
      <c r="E60" s="48" t="s">
        <v>41</v>
      </c>
      <c r="F60" s="49">
        <v>39.75</v>
      </c>
      <c r="G60" s="50">
        <v>0</v>
      </c>
      <c r="H60" s="9">
        <f t="shared" si="0"/>
        <v>39.75</v>
      </c>
      <c r="I60" s="52">
        <v>2.25</v>
      </c>
    </row>
    <row r="61" spans="1:9" x14ac:dyDescent="0.25">
      <c r="A61" s="42">
        <v>55</v>
      </c>
      <c r="B61" s="43">
        <v>46048</v>
      </c>
      <c r="C61" s="44" t="s">
        <v>450</v>
      </c>
      <c r="D61" s="44" t="s">
        <v>451</v>
      </c>
      <c r="E61" s="44" t="s">
        <v>41</v>
      </c>
      <c r="F61" s="45">
        <v>79.5</v>
      </c>
      <c r="G61" s="46">
        <v>0</v>
      </c>
      <c r="H61" s="9">
        <f t="shared" si="0"/>
        <v>79.5</v>
      </c>
      <c r="I61" s="52">
        <v>4.5</v>
      </c>
    </row>
    <row r="62" spans="1:9" x14ac:dyDescent="0.25">
      <c r="A62" s="42">
        <v>56</v>
      </c>
      <c r="B62" s="47">
        <v>46048</v>
      </c>
      <c r="C62" s="48" t="s">
        <v>452</v>
      </c>
      <c r="D62" s="48" t="s">
        <v>23</v>
      </c>
      <c r="E62" s="48" t="s">
        <v>41</v>
      </c>
      <c r="F62" s="49">
        <v>106</v>
      </c>
      <c r="G62" s="50">
        <v>0</v>
      </c>
      <c r="H62" s="9">
        <f t="shared" si="0"/>
        <v>106</v>
      </c>
      <c r="I62" s="52">
        <v>6</v>
      </c>
    </row>
    <row r="63" spans="1:9" x14ac:dyDescent="0.25">
      <c r="A63" s="42">
        <v>57</v>
      </c>
      <c r="B63" s="43">
        <v>46048</v>
      </c>
      <c r="C63" s="44" t="s">
        <v>453</v>
      </c>
      <c r="D63" s="44" t="s">
        <v>454</v>
      </c>
      <c r="E63" s="44" t="s">
        <v>41</v>
      </c>
      <c r="F63" s="45">
        <v>3.4</v>
      </c>
      <c r="G63" s="46">
        <v>0</v>
      </c>
      <c r="H63" s="9">
        <f t="shared" si="0"/>
        <v>3.4</v>
      </c>
      <c r="I63" s="52">
        <v>0</v>
      </c>
    </row>
    <row r="64" spans="1:9" x14ac:dyDescent="0.25">
      <c r="A64" s="42">
        <v>58</v>
      </c>
      <c r="B64" s="47">
        <v>46049</v>
      </c>
      <c r="C64" s="48" t="s">
        <v>484</v>
      </c>
      <c r="D64" s="48" t="s">
        <v>89</v>
      </c>
      <c r="E64" s="48" t="s">
        <v>41</v>
      </c>
      <c r="F64" s="49">
        <v>478.25</v>
      </c>
      <c r="G64" s="50">
        <v>200</v>
      </c>
      <c r="H64" s="9">
        <f t="shared" si="0"/>
        <v>278.25</v>
      </c>
      <c r="I64" s="52">
        <v>15.75</v>
      </c>
    </row>
    <row r="65" spans="1:9" x14ac:dyDescent="0.25">
      <c r="A65" s="42">
        <v>59</v>
      </c>
      <c r="B65" s="43">
        <v>46049</v>
      </c>
      <c r="C65" s="44" t="s">
        <v>485</v>
      </c>
      <c r="D65" s="44" t="s">
        <v>101</v>
      </c>
      <c r="E65" s="44" t="s">
        <v>41</v>
      </c>
      <c r="F65" s="45">
        <v>291.16000000000003</v>
      </c>
      <c r="G65" s="46">
        <v>200</v>
      </c>
      <c r="H65" s="9">
        <f t="shared" si="0"/>
        <v>91.160000000000025</v>
      </c>
      <c r="I65" s="52">
        <v>5.16</v>
      </c>
    </row>
    <row r="66" spans="1:9" x14ac:dyDescent="0.25">
      <c r="A66" s="42">
        <v>60</v>
      </c>
      <c r="B66" s="47">
        <v>46050</v>
      </c>
      <c r="C66" s="48" t="s">
        <v>486</v>
      </c>
      <c r="D66" s="48" t="s">
        <v>29</v>
      </c>
      <c r="E66" s="48" t="s">
        <v>41</v>
      </c>
      <c r="F66" s="49">
        <v>1219.6600000000001</v>
      </c>
      <c r="G66" s="50">
        <v>200</v>
      </c>
      <c r="H66" s="9">
        <f t="shared" si="0"/>
        <v>1019.6600000000001</v>
      </c>
      <c r="I66" s="52">
        <v>48.66</v>
      </c>
    </row>
    <row r="67" spans="1:9" x14ac:dyDescent="0.25">
      <c r="A67" s="42">
        <v>61</v>
      </c>
      <c r="B67" s="43">
        <v>46051</v>
      </c>
      <c r="C67" s="44" t="s">
        <v>487</v>
      </c>
      <c r="D67" s="44" t="s">
        <v>488</v>
      </c>
      <c r="E67" s="44" t="s">
        <v>41</v>
      </c>
      <c r="F67" s="45">
        <v>624</v>
      </c>
      <c r="G67" s="46">
        <v>200</v>
      </c>
      <c r="H67" s="9">
        <f t="shared" si="0"/>
        <v>424</v>
      </c>
      <c r="I67" s="52">
        <v>24</v>
      </c>
    </row>
    <row r="68" spans="1:9" x14ac:dyDescent="0.25">
      <c r="A68" s="42">
        <v>62</v>
      </c>
      <c r="B68" s="47">
        <v>46051</v>
      </c>
      <c r="C68" s="48" t="s">
        <v>455</v>
      </c>
      <c r="D68" s="48" t="s">
        <v>73</v>
      </c>
      <c r="E68" s="48" t="s">
        <v>41</v>
      </c>
      <c r="F68" s="49">
        <v>0</v>
      </c>
      <c r="G68" s="50">
        <v>0</v>
      </c>
      <c r="H68" s="9">
        <f t="shared" si="0"/>
        <v>0</v>
      </c>
      <c r="I68" s="52">
        <v>0</v>
      </c>
    </row>
    <row r="69" spans="1:9" x14ac:dyDescent="0.25">
      <c r="A69" s="42">
        <v>63</v>
      </c>
      <c r="B69" s="43">
        <v>46051</v>
      </c>
      <c r="C69" s="44" t="s">
        <v>456</v>
      </c>
      <c r="D69" s="44" t="s">
        <v>38</v>
      </c>
      <c r="E69" s="44" t="s">
        <v>41</v>
      </c>
      <c r="F69" s="45">
        <v>397.5</v>
      </c>
      <c r="G69" s="46">
        <v>0</v>
      </c>
      <c r="H69" s="9">
        <f t="shared" si="0"/>
        <v>397.5</v>
      </c>
      <c r="I69" s="52">
        <v>22.5</v>
      </c>
    </row>
    <row r="70" spans="1:9" x14ac:dyDescent="0.25">
      <c r="A70" s="42">
        <v>64</v>
      </c>
      <c r="B70" s="47">
        <v>46051</v>
      </c>
      <c r="C70" s="48" t="s">
        <v>457</v>
      </c>
      <c r="D70" s="48" t="s">
        <v>7</v>
      </c>
      <c r="E70" s="48" t="s">
        <v>41</v>
      </c>
      <c r="F70" s="49">
        <v>28.62</v>
      </c>
      <c r="G70" s="50">
        <v>0</v>
      </c>
      <c r="H70" s="9">
        <f t="shared" si="0"/>
        <v>28.62</v>
      </c>
      <c r="I70" s="52">
        <v>1.62</v>
      </c>
    </row>
    <row r="71" spans="1:9" x14ac:dyDescent="0.25">
      <c r="A71" s="42">
        <v>65</v>
      </c>
      <c r="B71" s="43">
        <v>46051</v>
      </c>
      <c r="C71" s="44" t="s">
        <v>458</v>
      </c>
      <c r="D71" s="44" t="s">
        <v>459</v>
      </c>
      <c r="E71" s="44" t="s">
        <v>41</v>
      </c>
      <c r="F71" s="45">
        <v>84.8</v>
      </c>
      <c r="G71" s="46">
        <v>0</v>
      </c>
      <c r="H71" s="9">
        <f t="shared" si="0"/>
        <v>84.8</v>
      </c>
      <c r="I71" s="52">
        <v>4.8</v>
      </c>
    </row>
    <row r="72" spans="1:9" x14ac:dyDescent="0.25">
      <c r="A72" s="42">
        <v>66</v>
      </c>
      <c r="B72" s="47">
        <v>46052</v>
      </c>
      <c r="C72" s="48" t="s">
        <v>489</v>
      </c>
      <c r="D72" s="48" t="s">
        <v>28</v>
      </c>
      <c r="E72" s="48" t="s">
        <v>41</v>
      </c>
      <c r="F72" s="49">
        <v>836.08</v>
      </c>
      <c r="G72" s="50">
        <v>200</v>
      </c>
      <c r="H72" s="9">
        <f t="shared" ref="H72:H81" si="1">F72-G72</f>
        <v>636.08000000000004</v>
      </c>
      <c r="I72" s="52">
        <v>28.08</v>
      </c>
    </row>
    <row r="73" spans="1:9" x14ac:dyDescent="0.25">
      <c r="A73" s="42">
        <v>67</v>
      </c>
      <c r="B73" s="43">
        <v>46052</v>
      </c>
      <c r="C73" s="44" t="s">
        <v>466</v>
      </c>
      <c r="D73" s="44" t="s">
        <v>72</v>
      </c>
      <c r="E73" s="44" t="s">
        <v>41</v>
      </c>
      <c r="F73" s="45">
        <v>131.80000000000001</v>
      </c>
      <c r="G73" s="46">
        <v>100</v>
      </c>
      <c r="H73" s="9">
        <f t="shared" si="1"/>
        <v>31.800000000000011</v>
      </c>
      <c r="I73" s="52">
        <v>1.8</v>
      </c>
    </row>
    <row r="74" spans="1:9" x14ac:dyDescent="0.25">
      <c r="A74" s="42">
        <v>68</v>
      </c>
      <c r="B74" s="47">
        <v>46052</v>
      </c>
      <c r="C74" s="48" t="s">
        <v>460</v>
      </c>
      <c r="D74" s="48" t="s">
        <v>13</v>
      </c>
      <c r="E74" s="48" t="s">
        <v>41</v>
      </c>
      <c r="F74" s="49">
        <v>3007.6</v>
      </c>
      <c r="G74" s="50">
        <v>0</v>
      </c>
      <c r="H74" s="9">
        <f t="shared" si="1"/>
        <v>3007.6</v>
      </c>
      <c r="I74" s="52">
        <v>147.6</v>
      </c>
    </row>
    <row r="75" spans="1:9" x14ac:dyDescent="0.25">
      <c r="A75" s="42">
        <v>69</v>
      </c>
      <c r="B75" s="43">
        <v>46052</v>
      </c>
      <c r="C75" s="44" t="s">
        <v>461</v>
      </c>
      <c r="D75" s="44" t="s">
        <v>21</v>
      </c>
      <c r="E75" s="44" t="s">
        <v>41</v>
      </c>
      <c r="F75" s="45">
        <v>112.36</v>
      </c>
      <c r="G75" s="46">
        <v>0</v>
      </c>
      <c r="H75" s="9">
        <f t="shared" si="1"/>
        <v>112.36</v>
      </c>
      <c r="I75" s="52">
        <v>6.36</v>
      </c>
    </row>
    <row r="76" spans="1:9" x14ac:dyDescent="0.25">
      <c r="A76" s="42">
        <v>70</v>
      </c>
      <c r="B76" s="47">
        <v>46052</v>
      </c>
      <c r="C76" s="48" t="s">
        <v>462</v>
      </c>
      <c r="D76" s="48" t="s">
        <v>22</v>
      </c>
      <c r="E76" s="48" t="s">
        <v>41</v>
      </c>
      <c r="F76" s="49">
        <v>127.2</v>
      </c>
      <c r="G76" s="50">
        <v>0</v>
      </c>
      <c r="H76" s="9">
        <f t="shared" si="1"/>
        <v>127.2</v>
      </c>
      <c r="I76" s="52">
        <v>7.2</v>
      </c>
    </row>
    <row r="77" spans="1:9" x14ac:dyDescent="0.25">
      <c r="A77" s="42">
        <v>71</v>
      </c>
      <c r="B77" s="43">
        <v>46052</v>
      </c>
      <c r="C77" s="44" t="s">
        <v>463</v>
      </c>
      <c r="D77" s="44" t="s">
        <v>11</v>
      </c>
      <c r="E77" s="44" t="s">
        <v>41</v>
      </c>
      <c r="F77" s="45">
        <v>133</v>
      </c>
      <c r="G77" s="46">
        <v>0</v>
      </c>
      <c r="H77" s="9">
        <f t="shared" si="1"/>
        <v>133</v>
      </c>
      <c r="I77" s="52">
        <v>3</v>
      </c>
    </row>
    <row r="78" spans="1:9" x14ac:dyDescent="0.25">
      <c r="A78" s="42">
        <v>72</v>
      </c>
      <c r="B78" s="47">
        <v>46052</v>
      </c>
      <c r="C78" s="48" t="s">
        <v>490</v>
      </c>
      <c r="D78" s="48" t="s">
        <v>491</v>
      </c>
      <c r="E78" s="48" t="s">
        <v>41</v>
      </c>
      <c r="F78" s="49">
        <v>398.75</v>
      </c>
      <c r="G78" s="50">
        <v>200</v>
      </c>
      <c r="H78" s="9">
        <f t="shared" si="1"/>
        <v>198.75</v>
      </c>
      <c r="I78" s="52">
        <v>11.25</v>
      </c>
    </row>
    <row r="79" spans="1:9" x14ac:dyDescent="0.25">
      <c r="A79" s="42">
        <v>73</v>
      </c>
      <c r="B79" s="43">
        <v>46053</v>
      </c>
      <c r="C79" s="44" t="s">
        <v>510</v>
      </c>
      <c r="D79" s="44" t="s">
        <v>511</v>
      </c>
      <c r="E79" s="44" t="s">
        <v>41</v>
      </c>
      <c r="F79" s="45">
        <v>3436.16</v>
      </c>
      <c r="G79" s="46">
        <v>300</v>
      </c>
      <c r="H79" s="9">
        <f t="shared" si="1"/>
        <v>3136.16</v>
      </c>
      <c r="I79" s="52">
        <v>155.16</v>
      </c>
    </row>
    <row r="80" spans="1:9" x14ac:dyDescent="0.25">
      <c r="A80" s="42">
        <v>74</v>
      </c>
      <c r="B80" s="47">
        <v>46053</v>
      </c>
      <c r="C80" s="48" t="s">
        <v>464</v>
      </c>
      <c r="D80" s="48" t="s">
        <v>9</v>
      </c>
      <c r="E80" s="48" t="s">
        <v>41</v>
      </c>
      <c r="F80" s="49">
        <v>4716.3</v>
      </c>
      <c r="G80" s="50">
        <v>0</v>
      </c>
      <c r="H80" s="9">
        <f t="shared" si="1"/>
        <v>4716.3</v>
      </c>
      <c r="I80" s="52">
        <v>252</v>
      </c>
    </row>
    <row r="81" spans="1:9" x14ac:dyDescent="0.25">
      <c r="A81" s="42">
        <v>75</v>
      </c>
      <c r="B81" s="43">
        <v>46053</v>
      </c>
      <c r="C81" s="44" t="s">
        <v>515</v>
      </c>
      <c r="D81" s="44" t="s">
        <v>12</v>
      </c>
      <c r="E81" s="44" t="s">
        <v>41</v>
      </c>
      <c r="F81" s="45">
        <v>728</v>
      </c>
      <c r="G81" s="46">
        <v>0</v>
      </c>
      <c r="H81" s="9">
        <f t="shared" si="1"/>
        <v>728</v>
      </c>
      <c r="I81" s="52">
        <v>78</v>
      </c>
    </row>
    <row r="82" spans="1:9" ht="21" x14ac:dyDescent="0.25">
      <c r="A82" s="22" t="s">
        <v>15</v>
      </c>
      <c r="B82" s="18">
        <v>75</v>
      </c>
      <c r="C82" s="23"/>
      <c r="D82" s="15"/>
      <c r="E82" s="15"/>
      <c r="F82" s="19">
        <f>SUM(F7:F81)</f>
        <v>117715.41000000003</v>
      </c>
      <c r="G82" s="16">
        <f>SUM(G7:G81)</f>
        <v>9200</v>
      </c>
      <c r="H82" s="17">
        <f>SUM(H7:H81)</f>
        <v>108515.41000000002</v>
      </c>
      <c r="I82" s="55">
        <f>SUM(I7:I81)</f>
        <v>5759.31</v>
      </c>
    </row>
    <row r="83" spans="1:9" ht="8.25" customHeight="1" x14ac:dyDescent="0.25">
      <c r="A83" s="2"/>
      <c r="B83" s="11"/>
      <c r="C83" s="11"/>
      <c r="D83" s="12"/>
      <c r="E83" s="12"/>
      <c r="F83" s="13"/>
      <c r="G83" s="14"/>
      <c r="H83" s="10"/>
    </row>
    <row r="84" spans="1:9" hidden="1" x14ac:dyDescent="0.25">
      <c r="A84" s="2"/>
      <c r="B84" s="11"/>
      <c r="C84" s="11"/>
      <c r="D84" s="12"/>
      <c r="E84" s="12"/>
      <c r="F84" s="13"/>
      <c r="G84" s="14"/>
      <c r="H84" s="10"/>
    </row>
    <row r="85" spans="1:9" ht="11.25" customHeight="1" x14ac:dyDescent="0.25"/>
    <row r="87" spans="1:9" x14ac:dyDescent="0.25">
      <c r="D87" s="26" t="s">
        <v>76</v>
      </c>
      <c r="E87" s="27">
        <f>H82</f>
        <v>108515.41000000002</v>
      </c>
      <c r="F87" s="68" t="s">
        <v>97</v>
      </c>
      <c r="G87" s="68"/>
      <c r="H87" s="28">
        <v>500</v>
      </c>
    </row>
    <row r="88" spans="1:9" x14ac:dyDescent="0.25">
      <c r="D88" s="26" t="s">
        <v>517</v>
      </c>
      <c r="E88" s="27">
        <f>I82</f>
        <v>5759.31</v>
      </c>
      <c r="F88" s="24"/>
      <c r="G88" s="24"/>
      <c r="H88" s="28"/>
    </row>
    <row r="89" spans="1:9" x14ac:dyDescent="0.25">
      <c r="D89" s="26" t="s">
        <v>16</v>
      </c>
      <c r="E89" s="27">
        <v>2230</v>
      </c>
      <c r="F89" s="24"/>
      <c r="G89" s="24"/>
      <c r="H89" s="28"/>
    </row>
    <row r="90" spans="1:9" x14ac:dyDescent="0.25">
      <c r="D90" s="26" t="s">
        <v>17</v>
      </c>
      <c r="E90" s="27">
        <v>96000</v>
      </c>
      <c r="F90" s="68"/>
      <c r="G90" s="68"/>
      <c r="H90" s="28"/>
    </row>
    <row r="91" spans="1:9" ht="30" customHeight="1" x14ac:dyDescent="0.25">
      <c r="D91" s="26" t="s">
        <v>77</v>
      </c>
      <c r="E91" s="27">
        <f>E87-E89-E90-E88</f>
        <v>4526.1000000000176</v>
      </c>
      <c r="F91" s="70" t="s">
        <v>190</v>
      </c>
      <c r="G91" s="68"/>
      <c r="H91" s="28">
        <f>E91*2%</f>
        <v>90.522000000000361</v>
      </c>
    </row>
    <row r="92" spans="1:9" x14ac:dyDescent="0.25">
      <c r="F92" s="65" t="s">
        <v>47</v>
      </c>
      <c r="G92" s="65"/>
      <c r="H92" s="30">
        <f>H87+H91</f>
        <v>590.52200000000039</v>
      </c>
    </row>
    <row r="94" spans="1:9" x14ac:dyDescent="0.25">
      <c r="B94" s="67" t="s">
        <v>78</v>
      </c>
      <c r="C94" s="67"/>
      <c r="D94" s="67" t="s">
        <v>79</v>
      </c>
      <c r="E94" s="67"/>
      <c r="G94" s="25" t="s">
        <v>80</v>
      </c>
    </row>
    <row r="95" spans="1:9" x14ac:dyDescent="0.25">
      <c r="B95" s="29"/>
      <c r="C95" s="29"/>
      <c r="D95" s="29"/>
      <c r="E95" s="29"/>
      <c r="G95" s="25"/>
    </row>
    <row r="97" spans="2:8" x14ac:dyDescent="0.25">
      <c r="B97" s="66" t="s">
        <v>81</v>
      </c>
      <c r="C97" s="66"/>
      <c r="D97" s="66" t="s">
        <v>82</v>
      </c>
      <c r="E97" s="66"/>
      <c r="F97" s="66" t="s">
        <v>83</v>
      </c>
      <c r="G97" s="66"/>
      <c r="H97" s="66"/>
    </row>
    <row r="98" spans="2:8" x14ac:dyDescent="0.25">
      <c r="B98" s="66" t="s">
        <v>86</v>
      </c>
      <c r="C98" s="66"/>
      <c r="D98" s="66" t="s">
        <v>518</v>
      </c>
      <c r="E98" s="66"/>
      <c r="F98" s="66" t="s">
        <v>85</v>
      </c>
      <c r="G98" s="66"/>
      <c r="H98" s="66"/>
    </row>
    <row r="99" spans="2:8" x14ac:dyDescent="0.25">
      <c r="B99" s="69">
        <v>46056</v>
      </c>
      <c r="C99" s="66"/>
    </row>
  </sheetData>
  <mergeCells count="15">
    <mergeCell ref="B99:C99"/>
    <mergeCell ref="B94:C94"/>
    <mergeCell ref="D94:E94"/>
    <mergeCell ref="B97:C97"/>
    <mergeCell ref="D97:E97"/>
    <mergeCell ref="F97:H97"/>
    <mergeCell ref="B98:C98"/>
    <mergeCell ref="D98:E98"/>
    <mergeCell ref="F98:H98"/>
    <mergeCell ref="A3:D3"/>
    <mergeCell ref="A4:D4"/>
    <mergeCell ref="F87:G87"/>
    <mergeCell ref="F90:G90"/>
    <mergeCell ref="F91:G91"/>
    <mergeCell ref="F92:G92"/>
  </mergeCells>
  <pageMargins left="1.3779527559055118" right="0.98425196850393704" top="0.98425196850393704" bottom="0.98425196850393704" header="0.51181102362204722" footer="0.51181102362204722"/>
  <pageSetup paperSize="9" scale="73" fitToHeight="0" orientation="landscape" r:id="rId1"/>
  <rowBreaks count="1" manualBreakCount="1">
    <brk id="39" max="7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0AC9-46F7-478C-8464-B5895D1295AA}">
  <sheetPr>
    <pageSetUpPr fitToPage="1"/>
  </sheetPr>
  <dimension ref="A3:I114"/>
  <sheetViews>
    <sheetView view="pageBreakPreview" topLeftCell="A34" zoomScale="32" zoomScaleNormal="100" zoomScaleSheetLayoutView="32" workbookViewId="0">
      <selection activeCell="AM83" sqref="AM83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  <col min="9" max="9" width="12.7109375" customWidth="1"/>
  </cols>
  <sheetData>
    <row r="3" spans="1:9" x14ac:dyDescent="0.25">
      <c r="A3" s="64" t="s">
        <v>634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51" t="s">
        <v>516</v>
      </c>
    </row>
    <row r="7" spans="1:9" ht="21" customHeight="1" x14ac:dyDescent="0.25">
      <c r="A7" s="31">
        <v>1</v>
      </c>
      <c r="B7" s="3">
        <v>46055</v>
      </c>
      <c r="C7" s="4" t="s">
        <v>519</v>
      </c>
      <c r="D7" s="4" t="s">
        <v>32</v>
      </c>
      <c r="E7" s="4" t="s">
        <v>41</v>
      </c>
      <c r="F7" s="20">
        <v>226.5</v>
      </c>
      <c r="G7" s="5">
        <v>200</v>
      </c>
      <c r="H7" s="56">
        <f>F7-G7</f>
        <v>26.5</v>
      </c>
      <c r="I7" s="59">
        <v>1.5</v>
      </c>
    </row>
    <row r="8" spans="1:9" ht="21" customHeight="1" x14ac:dyDescent="0.25">
      <c r="A8" s="31">
        <v>2</v>
      </c>
      <c r="B8" s="6">
        <v>46055</v>
      </c>
      <c r="C8" s="7" t="s">
        <v>520</v>
      </c>
      <c r="D8" s="7" t="s">
        <v>60</v>
      </c>
      <c r="E8" s="7" t="s">
        <v>41</v>
      </c>
      <c r="F8" s="21">
        <v>195.4</v>
      </c>
      <c r="G8" s="8">
        <v>100</v>
      </c>
      <c r="H8" s="56">
        <f t="shared" ref="H8:H71" si="0">F8-G8</f>
        <v>95.4</v>
      </c>
      <c r="I8" s="59">
        <v>5.4</v>
      </c>
    </row>
    <row r="9" spans="1:9" ht="21" customHeight="1" x14ac:dyDescent="0.25">
      <c r="A9" s="31">
        <v>3</v>
      </c>
      <c r="B9" s="3">
        <v>46055</v>
      </c>
      <c r="C9" s="4" t="s">
        <v>521</v>
      </c>
      <c r="D9" s="4" t="s">
        <v>522</v>
      </c>
      <c r="E9" s="4" t="s">
        <v>41</v>
      </c>
      <c r="F9" s="20">
        <v>596.79999999999995</v>
      </c>
      <c r="G9" s="5">
        <v>300</v>
      </c>
      <c r="H9" s="56">
        <f t="shared" si="0"/>
        <v>296.79999999999995</v>
      </c>
      <c r="I9" s="59">
        <v>16.8</v>
      </c>
    </row>
    <row r="10" spans="1:9" ht="21" customHeight="1" x14ac:dyDescent="0.25">
      <c r="A10" s="31">
        <v>4</v>
      </c>
      <c r="B10" s="6">
        <v>46055</v>
      </c>
      <c r="C10" s="7" t="s">
        <v>523</v>
      </c>
      <c r="D10" s="7" t="s">
        <v>102</v>
      </c>
      <c r="E10" s="7" t="s">
        <v>41</v>
      </c>
      <c r="F10" s="21">
        <v>150</v>
      </c>
      <c r="G10" s="8">
        <v>0</v>
      </c>
      <c r="H10" s="56">
        <f t="shared" si="0"/>
        <v>150</v>
      </c>
      <c r="I10" s="59">
        <v>0</v>
      </c>
    </row>
    <row r="11" spans="1:9" ht="21" customHeight="1" x14ac:dyDescent="0.25">
      <c r="A11" s="31">
        <v>5</v>
      </c>
      <c r="B11" s="3">
        <v>46056</v>
      </c>
      <c r="C11" s="4" t="s">
        <v>524</v>
      </c>
      <c r="D11" s="4" t="s">
        <v>525</v>
      </c>
      <c r="E11" s="4" t="s">
        <v>41</v>
      </c>
      <c r="F11" s="20">
        <v>2679.58</v>
      </c>
      <c r="G11" s="5">
        <v>300</v>
      </c>
      <c r="H11" s="56">
        <f t="shared" si="0"/>
        <v>2379.58</v>
      </c>
      <c r="I11" s="59">
        <v>116.58</v>
      </c>
    </row>
    <row r="12" spans="1:9" ht="21" customHeight="1" x14ac:dyDescent="0.25">
      <c r="A12" s="31">
        <v>6</v>
      </c>
      <c r="B12" s="6">
        <v>46056</v>
      </c>
      <c r="C12" s="7" t="s">
        <v>526</v>
      </c>
      <c r="D12" s="7" t="s">
        <v>118</v>
      </c>
      <c r="E12" s="7" t="s">
        <v>41</v>
      </c>
      <c r="F12" s="21">
        <v>1758.5</v>
      </c>
      <c r="G12" s="8">
        <v>300</v>
      </c>
      <c r="H12" s="56">
        <f t="shared" si="0"/>
        <v>1458.5</v>
      </c>
      <c r="I12" s="59">
        <v>73.5</v>
      </c>
    </row>
    <row r="13" spans="1:9" ht="21" customHeight="1" x14ac:dyDescent="0.25">
      <c r="A13" s="31">
        <v>7</v>
      </c>
      <c r="B13" s="3">
        <v>46056</v>
      </c>
      <c r="C13" s="4" t="s">
        <v>527</v>
      </c>
      <c r="D13" s="4" t="s">
        <v>19</v>
      </c>
      <c r="E13" s="4" t="s">
        <v>41</v>
      </c>
      <c r="F13" s="20">
        <v>486.2</v>
      </c>
      <c r="G13" s="5">
        <v>200</v>
      </c>
      <c r="H13" s="56">
        <f t="shared" si="0"/>
        <v>286.2</v>
      </c>
      <c r="I13" s="59">
        <v>16.2</v>
      </c>
    </row>
    <row r="14" spans="1:9" ht="21" customHeight="1" x14ac:dyDescent="0.25">
      <c r="A14" s="31">
        <v>8</v>
      </c>
      <c r="B14" s="6">
        <v>46057</v>
      </c>
      <c r="C14" s="7" t="s">
        <v>528</v>
      </c>
      <c r="D14" s="7" t="s">
        <v>529</v>
      </c>
      <c r="E14" s="7" t="s">
        <v>41</v>
      </c>
      <c r="F14" s="21">
        <v>586.20000000000005</v>
      </c>
      <c r="G14" s="8">
        <v>300</v>
      </c>
      <c r="H14" s="56">
        <f t="shared" si="0"/>
        <v>286.20000000000005</v>
      </c>
      <c r="I14" s="59">
        <v>16.2</v>
      </c>
    </row>
    <row r="15" spans="1:9" ht="21" customHeight="1" x14ac:dyDescent="0.25">
      <c r="A15" s="31">
        <v>9</v>
      </c>
      <c r="B15" s="3">
        <v>46057</v>
      </c>
      <c r="C15" s="4" t="s">
        <v>530</v>
      </c>
      <c r="D15" s="4" t="s">
        <v>531</v>
      </c>
      <c r="E15" s="4" t="s">
        <v>41</v>
      </c>
      <c r="F15" s="20">
        <v>1398.18</v>
      </c>
      <c r="G15" s="5">
        <v>300</v>
      </c>
      <c r="H15" s="56">
        <f t="shared" si="0"/>
        <v>1098.18</v>
      </c>
      <c r="I15" s="59">
        <v>42.18</v>
      </c>
    </row>
    <row r="16" spans="1:9" ht="21" customHeight="1" x14ac:dyDescent="0.25">
      <c r="A16" s="31">
        <v>10</v>
      </c>
      <c r="B16" s="6">
        <v>46057</v>
      </c>
      <c r="C16" s="7" t="s">
        <v>532</v>
      </c>
      <c r="D16" s="7" t="s">
        <v>105</v>
      </c>
      <c r="E16" s="7" t="s">
        <v>41</v>
      </c>
      <c r="F16" s="21">
        <v>259.7</v>
      </c>
      <c r="G16" s="8">
        <v>0</v>
      </c>
      <c r="H16" s="56">
        <f t="shared" si="0"/>
        <v>259.7</v>
      </c>
      <c r="I16" s="59">
        <v>14.7</v>
      </c>
    </row>
    <row r="17" spans="1:9" ht="21" customHeight="1" x14ac:dyDescent="0.25">
      <c r="A17" s="31">
        <v>11</v>
      </c>
      <c r="B17" s="3">
        <v>46057</v>
      </c>
      <c r="C17" s="4" t="s">
        <v>533</v>
      </c>
      <c r="D17" s="4" t="s">
        <v>534</v>
      </c>
      <c r="E17" s="4" t="s">
        <v>41</v>
      </c>
      <c r="F17" s="20">
        <v>1413</v>
      </c>
      <c r="G17" s="5">
        <v>300</v>
      </c>
      <c r="H17" s="56">
        <f t="shared" si="0"/>
        <v>1113</v>
      </c>
      <c r="I17" s="59">
        <v>63</v>
      </c>
    </row>
    <row r="18" spans="1:9" ht="21" customHeight="1" x14ac:dyDescent="0.25">
      <c r="A18" s="31">
        <v>12</v>
      </c>
      <c r="B18" s="6">
        <v>46057</v>
      </c>
      <c r="C18" s="7" t="s">
        <v>535</v>
      </c>
      <c r="D18" s="7" t="s">
        <v>33</v>
      </c>
      <c r="E18" s="7" t="s">
        <v>41</v>
      </c>
      <c r="F18" s="21">
        <v>193.28</v>
      </c>
      <c r="G18" s="8">
        <v>100</v>
      </c>
      <c r="H18" s="56">
        <f t="shared" si="0"/>
        <v>93.28</v>
      </c>
      <c r="I18" s="59">
        <v>5.28</v>
      </c>
    </row>
    <row r="19" spans="1:9" ht="21" customHeight="1" x14ac:dyDescent="0.25">
      <c r="A19" s="31">
        <v>13</v>
      </c>
      <c r="B19" s="3">
        <v>46058</v>
      </c>
      <c r="C19" s="4" t="s">
        <v>536</v>
      </c>
      <c r="D19" s="4" t="s">
        <v>66</v>
      </c>
      <c r="E19" s="4" t="s">
        <v>41</v>
      </c>
      <c r="F19" s="20">
        <v>874.32</v>
      </c>
      <c r="G19" s="5">
        <v>300</v>
      </c>
      <c r="H19" s="56">
        <f t="shared" si="0"/>
        <v>574.32000000000005</v>
      </c>
      <c r="I19" s="59">
        <v>22.32</v>
      </c>
    </row>
    <row r="20" spans="1:9" ht="21" customHeight="1" x14ac:dyDescent="0.25">
      <c r="A20" s="31">
        <v>14</v>
      </c>
      <c r="B20" s="6">
        <v>46058</v>
      </c>
      <c r="C20" s="7" t="s">
        <v>537</v>
      </c>
      <c r="D20" s="7" t="s">
        <v>51</v>
      </c>
      <c r="E20" s="7" t="s">
        <v>41</v>
      </c>
      <c r="F20" s="21">
        <v>152.63999999999999</v>
      </c>
      <c r="G20" s="8">
        <v>0</v>
      </c>
      <c r="H20" s="56">
        <f t="shared" si="0"/>
        <v>152.63999999999999</v>
      </c>
      <c r="I20" s="59">
        <v>8.64</v>
      </c>
    </row>
    <row r="21" spans="1:9" ht="21" customHeight="1" x14ac:dyDescent="0.25">
      <c r="A21" s="31">
        <v>15</v>
      </c>
      <c r="B21" s="3">
        <v>46058</v>
      </c>
      <c r="C21" s="4" t="s">
        <v>538</v>
      </c>
      <c r="D21" s="4" t="s">
        <v>539</v>
      </c>
      <c r="E21" s="4" t="s">
        <v>41</v>
      </c>
      <c r="F21" s="20">
        <v>624</v>
      </c>
      <c r="G21" s="5">
        <v>200</v>
      </c>
      <c r="H21" s="56">
        <f t="shared" si="0"/>
        <v>424</v>
      </c>
      <c r="I21" s="59">
        <v>24</v>
      </c>
    </row>
    <row r="22" spans="1:9" ht="21" customHeight="1" x14ac:dyDescent="0.25">
      <c r="A22" s="31">
        <v>16</v>
      </c>
      <c r="B22" s="6">
        <v>46058</v>
      </c>
      <c r="C22" s="7" t="s">
        <v>540</v>
      </c>
      <c r="D22" s="7" t="s">
        <v>539</v>
      </c>
      <c r="E22" s="7" t="s">
        <v>41</v>
      </c>
      <c r="F22" s="21">
        <v>238.5</v>
      </c>
      <c r="G22" s="8">
        <v>0</v>
      </c>
      <c r="H22" s="56">
        <f t="shared" si="0"/>
        <v>238.5</v>
      </c>
      <c r="I22" s="59">
        <v>13.5</v>
      </c>
    </row>
    <row r="23" spans="1:9" x14ac:dyDescent="0.25">
      <c r="A23" s="31">
        <v>17</v>
      </c>
      <c r="B23" s="3">
        <v>46059</v>
      </c>
      <c r="C23" s="4" t="s">
        <v>541</v>
      </c>
      <c r="D23" s="4" t="s">
        <v>62</v>
      </c>
      <c r="E23" s="4" t="s">
        <v>41</v>
      </c>
      <c r="F23" s="20">
        <v>2317</v>
      </c>
      <c r="G23" s="5">
        <v>500</v>
      </c>
      <c r="H23" s="56">
        <f t="shared" si="0"/>
        <v>1817</v>
      </c>
      <c r="I23" s="57">
        <v>87</v>
      </c>
    </row>
    <row r="24" spans="1:9" x14ac:dyDescent="0.25">
      <c r="A24" s="31">
        <v>18</v>
      </c>
      <c r="B24" s="6">
        <v>46059</v>
      </c>
      <c r="C24" s="7" t="s">
        <v>542</v>
      </c>
      <c r="D24" s="7" t="s">
        <v>543</v>
      </c>
      <c r="E24" s="7" t="s">
        <v>41</v>
      </c>
      <c r="F24" s="21">
        <v>1720</v>
      </c>
      <c r="G24" s="8">
        <v>300</v>
      </c>
      <c r="H24" s="56">
        <f t="shared" si="0"/>
        <v>1420</v>
      </c>
      <c r="I24" s="57">
        <v>60</v>
      </c>
    </row>
    <row r="25" spans="1:9" x14ac:dyDescent="0.25">
      <c r="A25" s="31">
        <v>19</v>
      </c>
      <c r="B25" s="3">
        <v>46059</v>
      </c>
      <c r="C25" s="4" t="s">
        <v>544</v>
      </c>
      <c r="D25" s="4" t="s">
        <v>98</v>
      </c>
      <c r="E25" s="4" t="s">
        <v>41</v>
      </c>
      <c r="F25" s="20">
        <v>265</v>
      </c>
      <c r="G25" s="5">
        <v>0</v>
      </c>
      <c r="H25" s="56">
        <f t="shared" si="0"/>
        <v>265</v>
      </c>
      <c r="I25" s="57">
        <v>15</v>
      </c>
    </row>
    <row r="26" spans="1:9" x14ac:dyDescent="0.25">
      <c r="A26" s="31">
        <v>20</v>
      </c>
      <c r="B26" s="6">
        <v>46059</v>
      </c>
      <c r="C26" s="7" t="s">
        <v>545</v>
      </c>
      <c r="D26" s="7" t="s">
        <v>29</v>
      </c>
      <c r="E26" s="7" t="s">
        <v>41</v>
      </c>
      <c r="F26" s="21">
        <v>725.2</v>
      </c>
      <c r="G26" s="8">
        <v>0</v>
      </c>
      <c r="H26" s="56">
        <f t="shared" si="0"/>
        <v>725.2</v>
      </c>
      <c r="I26" s="58">
        <v>25.2</v>
      </c>
    </row>
    <row r="27" spans="1:9" x14ac:dyDescent="0.25">
      <c r="A27" s="31">
        <v>21</v>
      </c>
      <c r="B27" s="3">
        <v>46059</v>
      </c>
      <c r="C27" s="4" t="s">
        <v>546</v>
      </c>
      <c r="D27" s="4" t="s">
        <v>12</v>
      </c>
      <c r="E27" s="4" t="s">
        <v>41</v>
      </c>
      <c r="F27" s="20">
        <v>257.95</v>
      </c>
      <c r="G27" s="5">
        <v>100</v>
      </c>
      <c r="H27" s="56">
        <f t="shared" si="0"/>
        <v>157.94999999999999</v>
      </c>
      <c r="I27" s="57">
        <v>0</v>
      </c>
    </row>
    <row r="28" spans="1:9" x14ac:dyDescent="0.25">
      <c r="A28" s="31">
        <v>22</v>
      </c>
      <c r="B28" s="6">
        <v>46059</v>
      </c>
      <c r="C28" s="7" t="s">
        <v>547</v>
      </c>
      <c r="D28" s="7" t="s">
        <v>548</v>
      </c>
      <c r="E28" s="7" t="s">
        <v>41</v>
      </c>
      <c r="F28" s="21">
        <v>459</v>
      </c>
      <c r="G28" s="8">
        <v>300</v>
      </c>
      <c r="H28" s="56">
        <f t="shared" si="0"/>
        <v>159</v>
      </c>
      <c r="I28" s="57">
        <v>9</v>
      </c>
    </row>
    <row r="29" spans="1:9" x14ac:dyDescent="0.25">
      <c r="A29" s="31">
        <v>23</v>
      </c>
      <c r="B29" s="3">
        <v>46059</v>
      </c>
      <c r="C29" s="4" t="s">
        <v>549</v>
      </c>
      <c r="D29" s="4" t="s">
        <v>59</v>
      </c>
      <c r="E29" s="4" t="s">
        <v>41</v>
      </c>
      <c r="F29" s="20">
        <v>0</v>
      </c>
      <c r="G29" s="5">
        <v>0</v>
      </c>
      <c r="H29" s="56">
        <f t="shared" si="0"/>
        <v>0</v>
      </c>
      <c r="I29" s="57">
        <v>0</v>
      </c>
    </row>
    <row r="30" spans="1:9" x14ac:dyDescent="0.25">
      <c r="A30" s="31">
        <v>24</v>
      </c>
      <c r="B30" s="6">
        <v>46060</v>
      </c>
      <c r="C30" s="7" t="s">
        <v>550</v>
      </c>
      <c r="D30" s="7" t="s">
        <v>551</v>
      </c>
      <c r="E30" s="7" t="s">
        <v>41</v>
      </c>
      <c r="F30" s="21">
        <v>1317.6</v>
      </c>
      <c r="G30" s="8">
        <v>0</v>
      </c>
      <c r="H30" s="56">
        <f t="shared" si="0"/>
        <v>1317.6</v>
      </c>
      <c r="I30" s="57">
        <v>57.6</v>
      </c>
    </row>
    <row r="31" spans="1:9" x14ac:dyDescent="0.25">
      <c r="A31" s="31">
        <v>25</v>
      </c>
      <c r="B31" s="3">
        <v>46060</v>
      </c>
      <c r="C31" s="4" t="s">
        <v>552</v>
      </c>
      <c r="D31" s="4" t="s">
        <v>58</v>
      </c>
      <c r="E31" s="4" t="s">
        <v>41</v>
      </c>
      <c r="F31" s="20">
        <v>2871.24</v>
      </c>
      <c r="G31" s="5">
        <v>500</v>
      </c>
      <c r="H31" s="56">
        <f t="shared" si="0"/>
        <v>2371.2399999999998</v>
      </c>
      <c r="I31" s="57">
        <v>120.64</v>
      </c>
    </row>
    <row r="32" spans="1:9" x14ac:dyDescent="0.25">
      <c r="A32" s="31">
        <v>26</v>
      </c>
      <c r="B32" s="6">
        <v>46060</v>
      </c>
      <c r="C32" s="7" t="s">
        <v>553</v>
      </c>
      <c r="D32" s="7" t="s">
        <v>105</v>
      </c>
      <c r="E32" s="7" t="s">
        <v>41</v>
      </c>
      <c r="F32" s="21">
        <v>756.5</v>
      </c>
      <c r="G32" s="8">
        <v>0</v>
      </c>
      <c r="H32" s="56">
        <f t="shared" si="0"/>
        <v>756.5</v>
      </c>
      <c r="I32" s="57">
        <v>31.5</v>
      </c>
    </row>
    <row r="33" spans="1:9" x14ac:dyDescent="0.25">
      <c r="A33" s="31">
        <v>27</v>
      </c>
      <c r="B33" s="3">
        <v>46060</v>
      </c>
      <c r="C33" s="4" t="s">
        <v>554</v>
      </c>
      <c r="D33" s="4" t="s">
        <v>39</v>
      </c>
      <c r="E33" s="4" t="s">
        <v>41</v>
      </c>
      <c r="F33" s="20">
        <v>1496.8</v>
      </c>
      <c r="G33" s="5">
        <v>0</v>
      </c>
      <c r="H33" s="56">
        <f t="shared" si="0"/>
        <v>1496.8</v>
      </c>
      <c r="I33" s="57">
        <v>76.8</v>
      </c>
    </row>
    <row r="34" spans="1:9" x14ac:dyDescent="0.25">
      <c r="A34" s="31">
        <v>28</v>
      </c>
      <c r="B34" s="6">
        <v>46060</v>
      </c>
      <c r="C34" s="7" t="s">
        <v>555</v>
      </c>
      <c r="D34" s="7" t="s">
        <v>39</v>
      </c>
      <c r="E34" s="7" t="s">
        <v>41</v>
      </c>
      <c r="F34" s="21">
        <v>631.79999999999995</v>
      </c>
      <c r="G34" s="8">
        <v>0</v>
      </c>
      <c r="H34" s="56">
        <f t="shared" si="0"/>
        <v>631.79999999999995</v>
      </c>
      <c r="I34" s="57">
        <v>31.8</v>
      </c>
    </row>
    <row r="35" spans="1:9" x14ac:dyDescent="0.25">
      <c r="A35" s="31">
        <v>29</v>
      </c>
      <c r="B35" s="3">
        <v>46060</v>
      </c>
      <c r="C35" s="4" t="s">
        <v>556</v>
      </c>
      <c r="D35" s="4" t="s">
        <v>557</v>
      </c>
      <c r="E35" s="4" t="s">
        <v>41</v>
      </c>
      <c r="F35" s="20">
        <v>331.8</v>
      </c>
      <c r="G35" s="5">
        <v>300</v>
      </c>
      <c r="H35" s="56">
        <f t="shared" si="0"/>
        <v>31.800000000000011</v>
      </c>
      <c r="I35" s="57">
        <v>1.8</v>
      </c>
    </row>
    <row r="36" spans="1:9" x14ac:dyDescent="0.25">
      <c r="A36" s="31">
        <v>30</v>
      </c>
      <c r="B36" s="6">
        <v>46060</v>
      </c>
      <c r="C36" s="7" t="s">
        <v>558</v>
      </c>
      <c r="D36" s="7" t="s">
        <v>33</v>
      </c>
      <c r="E36" s="7" t="s">
        <v>41</v>
      </c>
      <c r="F36" s="21">
        <v>789.36</v>
      </c>
      <c r="G36" s="8">
        <v>200</v>
      </c>
      <c r="H36" s="56">
        <f t="shared" si="0"/>
        <v>589.36</v>
      </c>
      <c r="I36" s="57">
        <v>33.36</v>
      </c>
    </row>
    <row r="37" spans="1:9" x14ac:dyDescent="0.25">
      <c r="A37" s="31">
        <v>31</v>
      </c>
      <c r="B37" s="3">
        <v>46062</v>
      </c>
      <c r="C37" s="4" t="s">
        <v>559</v>
      </c>
      <c r="D37" s="4" t="s">
        <v>560</v>
      </c>
      <c r="E37" s="4" t="s">
        <v>41</v>
      </c>
      <c r="F37" s="20">
        <v>2751.1</v>
      </c>
      <c r="G37" s="5">
        <v>300</v>
      </c>
      <c r="H37" s="56">
        <f t="shared" si="0"/>
        <v>2451.1</v>
      </c>
      <c r="I37" s="57">
        <v>116.1</v>
      </c>
    </row>
    <row r="38" spans="1:9" x14ac:dyDescent="0.25">
      <c r="A38" s="31">
        <v>32</v>
      </c>
      <c r="B38" s="6">
        <v>46062</v>
      </c>
      <c r="C38" s="7" t="s">
        <v>561</v>
      </c>
      <c r="D38" s="7" t="s">
        <v>57</v>
      </c>
      <c r="E38" s="7" t="s">
        <v>41</v>
      </c>
      <c r="F38" s="21">
        <v>1196.04</v>
      </c>
      <c r="G38" s="8">
        <v>100</v>
      </c>
      <c r="H38" s="56">
        <f t="shared" si="0"/>
        <v>1096.04</v>
      </c>
      <c r="I38" s="57">
        <v>62.04</v>
      </c>
    </row>
    <row r="39" spans="1:9" x14ac:dyDescent="0.25">
      <c r="A39" s="31">
        <v>33</v>
      </c>
      <c r="B39" s="3">
        <v>46062</v>
      </c>
      <c r="C39" s="4" t="s">
        <v>562</v>
      </c>
      <c r="D39" s="4" t="s">
        <v>13</v>
      </c>
      <c r="E39" s="4" t="s">
        <v>41</v>
      </c>
      <c r="F39" s="20">
        <v>1738</v>
      </c>
      <c r="G39" s="5">
        <v>0</v>
      </c>
      <c r="H39" s="56">
        <f t="shared" si="0"/>
        <v>1738</v>
      </c>
      <c r="I39" s="57">
        <v>78</v>
      </c>
    </row>
    <row r="40" spans="1:9" x14ac:dyDescent="0.25">
      <c r="A40" s="31">
        <v>34</v>
      </c>
      <c r="B40" s="6">
        <v>46062</v>
      </c>
      <c r="C40" s="7" t="s">
        <v>563</v>
      </c>
      <c r="D40" s="7" t="s">
        <v>52</v>
      </c>
      <c r="E40" s="7" t="s">
        <v>41</v>
      </c>
      <c r="F40" s="21">
        <v>1808.76</v>
      </c>
      <c r="G40" s="8">
        <v>300</v>
      </c>
      <c r="H40" s="56">
        <f t="shared" si="0"/>
        <v>1508.76</v>
      </c>
      <c r="I40" s="57">
        <v>62.76</v>
      </c>
    </row>
    <row r="41" spans="1:9" x14ac:dyDescent="0.25">
      <c r="A41" s="31">
        <v>35</v>
      </c>
      <c r="B41" s="3">
        <v>46063</v>
      </c>
      <c r="C41" s="4" t="s">
        <v>564</v>
      </c>
      <c r="D41" s="4" t="s">
        <v>565</v>
      </c>
      <c r="E41" s="4" t="s">
        <v>41</v>
      </c>
      <c r="F41" s="20">
        <v>474.4</v>
      </c>
      <c r="G41" s="5">
        <v>0</v>
      </c>
      <c r="H41" s="56">
        <f t="shared" si="0"/>
        <v>474.4</v>
      </c>
      <c r="I41" s="57">
        <v>14.4</v>
      </c>
    </row>
    <row r="42" spans="1:9" x14ac:dyDescent="0.25">
      <c r="A42" s="31">
        <v>36</v>
      </c>
      <c r="B42" s="6">
        <v>46063</v>
      </c>
      <c r="C42" s="7" t="s">
        <v>566</v>
      </c>
      <c r="D42" s="7" t="s">
        <v>567</v>
      </c>
      <c r="E42" s="7" t="s">
        <v>41</v>
      </c>
      <c r="F42" s="21">
        <v>265.3</v>
      </c>
      <c r="G42" s="8">
        <v>200</v>
      </c>
      <c r="H42" s="56">
        <f t="shared" si="0"/>
        <v>65.300000000000011</v>
      </c>
      <c r="I42" s="57">
        <v>3.7</v>
      </c>
    </row>
    <row r="43" spans="1:9" x14ac:dyDescent="0.25">
      <c r="A43" s="31">
        <v>37</v>
      </c>
      <c r="B43" s="3">
        <v>46063</v>
      </c>
      <c r="C43" s="4" t="s">
        <v>568</v>
      </c>
      <c r="D43" s="4" t="s">
        <v>18</v>
      </c>
      <c r="E43" s="4" t="s">
        <v>41</v>
      </c>
      <c r="F43" s="20">
        <v>280.2</v>
      </c>
      <c r="G43" s="5">
        <v>100</v>
      </c>
      <c r="H43" s="56">
        <f t="shared" si="0"/>
        <v>180.2</v>
      </c>
      <c r="I43" s="57">
        <v>10.199999999999999</v>
      </c>
    </row>
    <row r="44" spans="1:9" x14ac:dyDescent="0.25">
      <c r="A44" s="31">
        <v>38</v>
      </c>
      <c r="B44" s="6">
        <v>46063</v>
      </c>
      <c r="C44" s="7" t="s">
        <v>569</v>
      </c>
      <c r="D44" s="7" t="s">
        <v>29</v>
      </c>
      <c r="E44" s="7" t="s">
        <v>41</v>
      </c>
      <c r="F44" s="21">
        <v>1161</v>
      </c>
      <c r="G44" s="8">
        <v>0</v>
      </c>
      <c r="H44" s="56">
        <f t="shared" si="0"/>
        <v>1161</v>
      </c>
      <c r="I44" s="57">
        <v>51</v>
      </c>
    </row>
    <row r="45" spans="1:9" x14ac:dyDescent="0.25">
      <c r="A45" s="31">
        <v>39</v>
      </c>
      <c r="B45" s="3">
        <v>46063</v>
      </c>
      <c r="C45" s="4" t="s">
        <v>570</v>
      </c>
      <c r="D45" s="4" t="s">
        <v>33</v>
      </c>
      <c r="E45" s="4" t="s">
        <v>41</v>
      </c>
      <c r="F45" s="20">
        <v>162.18</v>
      </c>
      <c r="G45" s="5">
        <v>0</v>
      </c>
      <c r="H45" s="56">
        <f t="shared" si="0"/>
        <v>162.18</v>
      </c>
      <c r="I45" s="57">
        <v>9.18</v>
      </c>
    </row>
    <row r="46" spans="1:9" x14ac:dyDescent="0.25">
      <c r="A46" s="31">
        <v>40</v>
      </c>
      <c r="B46" s="6">
        <v>46064</v>
      </c>
      <c r="C46" s="7" t="s">
        <v>571</v>
      </c>
      <c r="D46" s="7" t="s">
        <v>36</v>
      </c>
      <c r="E46" s="7" t="s">
        <v>41</v>
      </c>
      <c r="F46" s="21">
        <v>1751.12</v>
      </c>
      <c r="G46" s="8">
        <v>0</v>
      </c>
      <c r="H46" s="56">
        <f t="shared" si="0"/>
        <v>1751.12</v>
      </c>
      <c r="I46" s="57">
        <v>99.12</v>
      </c>
    </row>
    <row r="47" spans="1:9" x14ac:dyDescent="0.25">
      <c r="A47" s="31">
        <v>41</v>
      </c>
      <c r="B47" s="3">
        <v>46064</v>
      </c>
      <c r="C47" s="4" t="s">
        <v>572</v>
      </c>
      <c r="D47" s="4" t="s">
        <v>12</v>
      </c>
      <c r="E47" s="4" t="s">
        <v>41</v>
      </c>
      <c r="F47" s="20">
        <v>234</v>
      </c>
      <c r="G47" s="5">
        <v>0</v>
      </c>
      <c r="H47" s="56">
        <f t="shared" si="0"/>
        <v>234</v>
      </c>
      <c r="I47" s="57">
        <v>0</v>
      </c>
    </row>
    <row r="48" spans="1:9" x14ac:dyDescent="0.25">
      <c r="A48" s="31">
        <v>42</v>
      </c>
      <c r="B48" s="6">
        <v>46065</v>
      </c>
      <c r="C48" s="7" t="s">
        <v>573</v>
      </c>
      <c r="D48" s="7" t="s">
        <v>326</v>
      </c>
      <c r="E48" s="7" t="s">
        <v>41</v>
      </c>
      <c r="F48" s="21">
        <v>6808.6</v>
      </c>
      <c r="G48" s="8">
        <v>500</v>
      </c>
      <c r="H48" s="56">
        <f t="shared" si="0"/>
        <v>6308.6</v>
      </c>
      <c r="I48" s="57">
        <v>358.6</v>
      </c>
    </row>
    <row r="49" spans="1:9" x14ac:dyDescent="0.25">
      <c r="A49" s="31">
        <v>43</v>
      </c>
      <c r="B49" s="3">
        <v>46065</v>
      </c>
      <c r="C49" s="4" t="s">
        <v>574</v>
      </c>
      <c r="D49" s="4" t="s">
        <v>560</v>
      </c>
      <c r="E49" s="4" t="s">
        <v>41</v>
      </c>
      <c r="F49" s="20">
        <v>25.44</v>
      </c>
      <c r="G49" s="5">
        <v>0</v>
      </c>
      <c r="H49" s="56">
        <f t="shared" si="0"/>
        <v>25.44</v>
      </c>
      <c r="I49" s="57">
        <v>1.44</v>
      </c>
    </row>
    <row r="50" spans="1:9" x14ac:dyDescent="0.25">
      <c r="A50" s="31">
        <v>44</v>
      </c>
      <c r="B50" s="6">
        <v>46065</v>
      </c>
      <c r="C50" s="7" t="s">
        <v>575</v>
      </c>
      <c r="D50" s="7" t="s">
        <v>576</v>
      </c>
      <c r="E50" s="7" t="s">
        <v>41</v>
      </c>
      <c r="F50" s="21">
        <v>522.6</v>
      </c>
      <c r="G50" s="8">
        <v>300</v>
      </c>
      <c r="H50" s="56">
        <f t="shared" si="0"/>
        <v>222.60000000000002</v>
      </c>
      <c r="I50" s="57">
        <v>12.6</v>
      </c>
    </row>
    <row r="51" spans="1:9" x14ac:dyDescent="0.25">
      <c r="A51" s="31">
        <v>45</v>
      </c>
      <c r="B51" s="3">
        <v>46066</v>
      </c>
      <c r="C51" s="4" t="s">
        <v>577</v>
      </c>
      <c r="D51" s="4" t="s">
        <v>578</v>
      </c>
      <c r="E51" s="4" t="s">
        <v>103</v>
      </c>
      <c r="F51" s="20">
        <v>0</v>
      </c>
      <c r="G51" s="5">
        <v>0</v>
      </c>
      <c r="H51" s="56">
        <f t="shared" si="0"/>
        <v>0</v>
      </c>
      <c r="I51" s="57">
        <v>0</v>
      </c>
    </row>
    <row r="52" spans="1:9" x14ac:dyDescent="0.25">
      <c r="A52" s="31">
        <v>46</v>
      </c>
      <c r="B52" s="6">
        <v>46066</v>
      </c>
      <c r="C52" s="7" t="s">
        <v>579</v>
      </c>
      <c r="D52" s="7" t="s">
        <v>580</v>
      </c>
      <c r="E52" s="7" t="s">
        <v>41</v>
      </c>
      <c r="F52" s="21">
        <v>3871.39</v>
      </c>
      <c r="G52" s="8">
        <v>300</v>
      </c>
      <c r="H52" s="56">
        <f t="shared" si="0"/>
        <v>3571.39</v>
      </c>
      <c r="I52" s="57">
        <v>169.89</v>
      </c>
    </row>
    <row r="53" spans="1:9" x14ac:dyDescent="0.25">
      <c r="A53" s="31">
        <v>47</v>
      </c>
      <c r="B53" s="3">
        <v>46066</v>
      </c>
      <c r="C53" s="4" t="s">
        <v>581</v>
      </c>
      <c r="D53" s="4" t="s">
        <v>12</v>
      </c>
      <c r="E53" s="4" t="s">
        <v>41</v>
      </c>
      <c r="F53" s="20">
        <v>27846</v>
      </c>
      <c r="G53" s="5">
        <v>1000</v>
      </c>
      <c r="H53" s="56">
        <f t="shared" si="0"/>
        <v>26846</v>
      </c>
      <c r="I53" s="57">
        <v>0</v>
      </c>
    </row>
    <row r="54" spans="1:9" x14ac:dyDescent="0.25">
      <c r="A54" s="31">
        <v>48</v>
      </c>
      <c r="B54" s="6">
        <v>46066</v>
      </c>
      <c r="C54" s="7" t="s">
        <v>582</v>
      </c>
      <c r="D54" s="7" t="s">
        <v>499</v>
      </c>
      <c r="E54" s="7" t="s">
        <v>41</v>
      </c>
      <c r="F54" s="21">
        <v>422.6</v>
      </c>
      <c r="G54" s="8">
        <v>200</v>
      </c>
      <c r="H54" s="56">
        <f t="shared" si="0"/>
        <v>222.60000000000002</v>
      </c>
      <c r="I54" s="57">
        <v>12.6</v>
      </c>
    </row>
    <row r="55" spans="1:9" x14ac:dyDescent="0.25">
      <c r="A55" s="31">
        <v>49</v>
      </c>
      <c r="B55" s="3">
        <v>46066</v>
      </c>
      <c r="C55" s="4" t="s">
        <v>583</v>
      </c>
      <c r="D55" s="4" t="s">
        <v>584</v>
      </c>
      <c r="E55" s="4" t="s">
        <v>41</v>
      </c>
      <c r="F55" s="20">
        <v>607.04</v>
      </c>
      <c r="G55" s="5">
        <v>200</v>
      </c>
      <c r="H55" s="56">
        <f t="shared" si="0"/>
        <v>407.03999999999996</v>
      </c>
      <c r="I55" s="57">
        <v>23.04</v>
      </c>
    </row>
    <row r="56" spans="1:9" x14ac:dyDescent="0.25">
      <c r="A56" s="31">
        <v>50</v>
      </c>
      <c r="B56" s="6">
        <v>46066</v>
      </c>
      <c r="C56" s="7" t="s">
        <v>585</v>
      </c>
      <c r="D56" s="7" t="s">
        <v>586</v>
      </c>
      <c r="E56" s="7" t="s">
        <v>41</v>
      </c>
      <c r="F56" s="21">
        <v>0</v>
      </c>
      <c r="G56" s="8">
        <v>0</v>
      </c>
      <c r="H56" s="56">
        <f t="shared" si="0"/>
        <v>0</v>
      </c>
      <c r="I56" s="57">
        <v>0</v>
      </c>
    </row>
    <row r="57" spans="1:9" x14ac:dyDescent="0.25">
      <c r="A57" s="31">
        <v>51</v>
      </c>
      <c r="B57" s="3">
        <v>46066</v>
      </c>
      <c r="C57" s="4" t="s">
        <v>587</v>
      </c>
      <c r="D57" s="4" t="s">
        <v>33</v>
      </c>
      <c r="E57" s="4" t="s">
        <v>41</v>
      </c>
      <c r="F57" s="20">
        <v>477.72</v>
      </c>
      <c r="G57" s="5">
        <v>200</v>
      </c>
      <c r="H57" s="56">
        <f t="shared" si="0"/>
        <v>277.72000000000003</v>
      </c>
      <c r="I57" s="57">
        <v>15.72</v>
      </c>
    </row>
    <row r="58" spans="1:9" x14ac:dyDescent="0.25">
      <c r="A58" s="31">
        <v>52</v>
      </c>
      <c r="B58" s="6">
        <v>46066</v>
      </c>
      <c r="C58" s="7" t="s">
        <v>588</v>
      </c>
      <c r="D58" s="7" t="s">
        <v>33</v>
      </c>
      <c r="E58" s="7" t="s">
        <v>41</v>
      </c>
      <c r="F58" s="21">
        <v>299.81</v>
      </c>
      <c r="G58" s="8">
        <v>100</v>
      </c>
      <c r="H58" s="56">
        <f t="shared" si="0"/>
        <v>199.81</v>
      </c>
      <c r="I58" s="57">
        <v>11.31</v>
      </c>
    </row>
    <row r="59" spans="1:9" x14ac:dyDescent="0.25">
      <c r="A59" s="31">
        <v>53</v>
      </c>
      <c r="B59" s="3">
        <v>46066</v>
      </c>
      <c r="C59" s="4" t="s">
        <v>589</v>
      </c>
      <c r="D59" s="4" t="s">
        <v>30</v>
      </c>
      <c r="E59" s="4" t="s">
        <v>41</v>
      </c>
      <c r="F59" s="20">
        <v>15</v>
      </c>
      <c r="G59" s="5">
        <v>0</v>
      </c>
      <c r="H59" s="56">
        <f t="shared" si="0"/>
        <v>15</v>
      </c>
      <c r="I59" s="57">
        <v>0</v>
      </c>
    </row>
    <row r="60" spans="1:9" x14ac:dyDescent="0.25">
      <c r="A60" s="31">
        <v>54</v>
      </c>
      <c r="B60" s="6">
        <v>46067</v>
      </c>
      <c r="C60" s="7" t="s">
        <v>590</v>
      </c>
      <c r="D60" s="7" t="s">
        <v>591</v>
      </c>
      <c r="E60" s="7" t="s">
        <v>41</v>
      </c>
      <c r="F60" s="21">
        <v>413</v>
      </c>
      <c r="G60" s="8">
        <v>200</v>
      </c>
      <c r="H60" s="56">
        <f t="shared" si="0"/>
        <v>213</v>
      </c>
      <c r="I60" s="57">
        <v>13</v>
      </c>
    </row>
    <row r="61" spans="1:9" x14ac:dyDescent="0.25">
      <c r="A61" s="31">
        <v>55</v>
      </c>
      <c r="B61" s="3">
        <v>46067</v>
      </c>
      <c r="C61" s="4" t="s">
        <v>592</v>
      </c>
      <c r="D61" s="4" t="s">
        <v>548</v>
      </c>
      <c r="E61" s="4" t="s">
        <v>41</v>
      </c>
      <c r="F61" s="20">
        <v>159</v>
      </c>
      <c r="G61" s="5">
        <v>0</v>
      </c>
      <c r="H61" s="56">
        <f t="shared" si="0"/>
        <v>159</v>
      </c>
      <c r="I61" s="57">
        <v>9</v>
      </c>
    </row>
    <row r="62" spans="1:9" x14ac:dyDescent="0.25">
      <c r="A62" s="31">
        <v>56</v>
      </c>
      <c r="B62" s="6">
        <v>46068</v>
      </c>
      <c r="C62" s="7" t="s">
        <v>593</v>
      </c>
      <c r="D62" s="7" t="s">
        <v>105</v>
      </c>
      <c r="E62" s="7" t="s">
        <v>41</v>
      </c>
      <c r="F62" s="21">
        <v>259.7</v>
      </c>
      <c r="G62" s="8">
        <v>0</v>
      </c>
      <c r="H62" s="56">
        <f t="shared" si="0"/>
        <v>259.7</v>
      </c>
      <c r="I62" s="57">
        <v>14.7</v>
      </c>
    </row>
    <row r="63" spans="1:9" x14ac:dyDescent="0.25">
      <c r="A63" s="31">
        <v>57</v>
      </c>
      <c r="B63" s="3">
        <v>46069</v>
      </c>
      <c r="C63" s="4" t="s">
        <v>594</v>
      </c>
      <c r="D63" s="4" t="s">
        <v>326</v>
      </c>
      <c r="E63" s="4" t="s">
        <v>41</v>
      </c>
      <c r="F63" s="20">
        <v>0</v>
      </c>
      <c r="G63" s="5">
        <v>0</v>
      </c>
      <c r="H63" s="56">
        <f t="shared" si="0"/>
        <v>0</v>
      </c>
      <c r="I63" s="57">
        <v>0</v>
      </c>
    </row>
    <row r="64" spans="1:9" x14ac:dyDescent="0.25">
      <c r="A64" s="31">
        <v>58</v>
      </c>
      <c r="B64" s="6">
        <v>46069</v>
      </c>
      <c r="C64" s="7" t="s">
        <v>595</v>
      </c>
      <c r="D64" s="7" t="s">
        <v>92</v>
      </c>
      <c r="E64" s="7" t="s">
        <v>42</v>
      </c>
      <c r="F64" s="21">
        <v>0</v>
      </c>
      <c r="G64" s="8">
        <v>0</v>
      </c>
      <c r="H64" s="56">
        <f t="shared" si="0"/>
        <v>0</v>
      </c>
      <c r="I64" s="57">
        <v>0</v>
      </c>
    </row>
    <row r="65" spans="1:9" x14ac:dyDescent="0.25">
      <c r="A65" s="31">
        <v>59</v>
      </c>
      <c r="B65" s="3">
        <v>46069</v>
      </c>
      <c r="C65" s="4" t="s">
        <v>596</v>
      </c>
      <c r="D65" s="4" t="s">
        <v>459</v>
      </c>
      <c r="E65" s="4" t="s">
        <v>42</v>
      </c>
      <c r="F65" s="20">
        <v>140</v>
      </c>
      <c r="G65" s="5">
        <v>0</v>
      </c>
      <c r="H65" s="56">
        <f t="shared" si="0"/>
        <v>140</v>
      </c>
      <c r="I65" s="57">
        <v>0</v>
      </c>
    </row>
    <row r="66" spans="1:9" x14ac:dyDescent="0.25">
      <c r="A66" s="31">
        <v>60</v>
      </c>
      <c r="B66" s="6">
        <v>46071</v>
      </c>
      <c r="C66" s="7" t="s">
        <v>597</v>
      </c>
      <c r="D66" s="7" t="s">
        <v>93</v>
      </c>
      <c r="E66" s="7" t="s">
        <v>41</v>
      </c>
      <c r="F66" s="21">
        <v>4833.6000000000004</v>
      </c>
      <c r="G66" s="8">
        <v>0</v>
      </c>
      <c r="H66" s="56">
        <f t="shared" si="0"/>
        <v>4833.6000000000004</v>
      </c>
      <c r="I66" s="57">
        <v>273.60000000000002</v>
      </c>
    </row>
    <row r="67" spans="1:9" x14ac:dyDescent="0.25">
      <c r="A67" s="31">
        <v>61</v>
      </c>
      <c r="B67" s="3">
        <v>46073</v>
      </c>
      <c r="C67" s="4" t="s">
        <v>598</v>
      </c>
      <c r="D67" s="4" t="s">
        <v>59</v>
      </c>
      <c r="E67" s="4" t="s">
        <v>41</v>
      </c>
      <c r="F67" s="20">
        <v>190.8</v>
      </c>
      <c r="G67" s="5">
        <v>0</v>
      </c>
      <c r="H67" s="56">
        <f t="shared" si="0"/>
        <v>190.8</v>
      </c>
      <c r="I67" s="57">
        <v>10.8</v>
      </c>
    </row>
    <row r="68" spans="1:9" x14ac:dyDescent="0.25">
      <c r="A68" s="31">
        <v>62</v>
      </c>
      <c r="B68" s="6">
        <v>46074</v>
      </c>
      <c r="C68" s="7" t="s">
        <v>599</v>
      </c>
      <c r="D68" s="7" t="s">
        <v>254</v>
      </c>
      <c r="E68" s="7" t="s">
        <v>41</v>
      </c>
      <c r="F68" s="21">
        <v>397.16</v>
      </c>
      <c r="G68" s="8">
        <v>200</v>
      </c>
      <c r="H68" s="56">
        <f t="shared" si="0"/>
        <v>197.16000000000003</v>
      </c>
      <c r="I68" s="57">
        <v>11.16</v>
      </c>
    </row>
    <row r="69" spans="1:9" x14ac:dyDescent="0.25">
      <c r="A69" s="31">
        <v>63</v>
      </c>
      <c r="B69" s="3">
        <v>46074</v>
      </c>
      <c r="C69" s="4" t="s">
        <v>600</v>
      </c>
      <c r="D69" s="4" t="s">
        <v>601</v>
      </c>
      <c r="E69" s="4" t="s">
        <v>41</v>
      </c>
      <c r="F69" s="20">
        <v>370</v>
      </c>
      <c r="G69" s="5">
        <v>100</v>
      </c>
      <c r="H69" s="56">
        <f t="shared" si="0"/>
        <v>270</v>
      </c>
      <c r="I69" s="57">
        <v>14.1</v>
      </c>
    </row>
    <row r="70" spans="1:9" x14ac:dyDescent="0.25">
      <c r="A70" s="31">
        <v>64</v>
      </c>
      <c r="B70" s="6">
        <v>46074</v>
      </c>
      <c r="C70" s="7" t="s">
        <v>602</v>
      </c>
      <c r="D70" s="7" t="s">
        <v>254</v>
      </c>
      <c r="E70" s="7" t="s">
        <v>41</v>
      </c>
      <c r="F70" s="21">
        <v>101.76</v>
      </c>
      <c r="G70" s="8">
        <v>0</v>
      </c>
      <c r="H70" s="56">
        <f t="shared" si="0"/>
        <v>101.76</v>
      </c>
      <c r="I70" s="57">
        <v>5.76</v>
      </c>
    </row>
    <row r="71" spans="1:9" x14ac:dyDescent="0.25">
      <c r="A71" s="31">
        <v>65</v>
      </c>
      <c r="B71" s="3">
        <v>46074</v>
      </c>
      <c r="C71" s="4" t="s">
        <v>603</v>
      </c>
      <c r="D71" s="4" t="s">
        <v>25</v>
      </c>
      <c r="E71" s="4" t="s">
        <v>41</v>
      </c>
      <c r="F71" s="20">
        <v>131.80000000000001</v>
      </c>
      <c r="G71" s="5">
        <v>100</v>
      </c>
      <c r="H71" s="56">
        <f t="shared" si="0"/>
        <v>31.800000000000011</v>
      </c>
      <c r="I71" s="57">
        <v>1.8</v>
      </c>
    </row>
    <row r="72" spans="1:9" x14ac:dyDescent="0.25">
      <c r="A72" s="31">
        <v>66</v>
      </c>
      <c r="B72" s="6">
        <v>46076</v>
      </c>
      <c r="C72" s="7" t="s">
        <v>604</v>
      </c>
      <c r="D72" s="7" t="s">
        <v>39</v>
      </c>
      <c r="E72" s="7" t="s">
        <v>41</v>
      </c>
      <c r="F72" s="21">
        <v>3766.62</v>
      </c>
      <c r="G72" s="8">
        <v>0</v>
      </c>
      <c r="H72" s="56">
        <f t="shared" ref="H72:H96" si="1">F72-G72</f>
        <v>3766.62</v>
      </c>
      <c r="I72" s="57">
        <v>199.62</v>
      </c>
    </row>
    <row r="73" spans="1:9" x14ac:dyDescent="0.25">
      <c r="A73" s="31">
        <v>67</v>
      </c>
      <c r="B73" s="3">
        <v>46076</v>
      </c>
      <c r="C73" s="4" t="s">
        <v>605</v>
      </c>
      <c r="D73" s="4" t="s">
        <v>606</v>
      </c>
      <c r="E73" s="4" t="s">
        <v>41</v>
      </c>
      <c r="F73" s="20">
        <v>1754.2</v>
      </c>
      <c r="G73" s="5">
        <v>300</v>
      </c>
      <c r="H73" s="56">
        <f t="shared" si="1"/>
        <v>1454.2</v>
      </c>
      <c r="I73" s="57">
        <v>64.2</v>
      </c>
    </row>
    <row r="74" spans="1:9" x14ac:dyDescent="0.25">
      <c r="A74" s="31">
        <v>68</v>
      </c>
      <c r="B74" s="6">
        <v>46076</v>
      </c>
      <c r="C74" s="7" t="s">
        <v>607</v>
      </c>
      <c r="D74" s="7" t="s">
        <v>608</v>
      </c>
      <c r="E74" s="7" t="s">
        <v>42</v>
      </c>
      <c r="F74" s="21">
        <v>350</v>
      </c>
      <c r="G74" s="8">
        <v>0</v>
      </c>
      <c r="H74" s="56">
        <f t="shared" si="1"/>
        <v>350</v>
      </c>
      <c r="I74" s="57">
        <v>0</v>
      </c>
    </row>
    <row r="75" spans="1:9" x14ac:dyDescent="0.25">
      <c r="A75" s="31">
        <v>69</v>
      </c>
      <c r="B75" s="3">
        <v>46076</v>
      </c>
      <c r="C75" s="4" t="s">
        <v>609</v>
      </c>
      <c r="D75" s="4" t="s">
        <v>608</v>
      </c>
      <c r="E75" s="4" t="s">
        <v>42</v>
      </c>
      <c r="F75" s="20">
        <v>350</v>
      </c>
      <c r="G75" s="5">
        <v>0</v>
      </c>
      <c r="H75" s="56">
        <f t="shared" si="1"/>
        <v>350</v>
      </c>
      <c r="I75" s="57">
        <v>0</v>
      </c>
    </row>
    <row r="76" spans="1:9" x14ac:dyDescent="0.25">
      <c r="A76" s="31">
        <v>70</v>
      </c>
      <c r="B76" s="6">
        <v>46076</v>
      </c>
      <c r="C76" s="7" t="s">
        <v>610</v>
      </c>
      <c r="D76" s="7" t="s">
        <v>611</v>
      </c>
      <c r="E76" s="7" t="s">
        <v>41</v>
      </c>
      <c r="F76" s="21">
        <v>125.44</v>
      </c>
      <c r="G76" s="8">
        <v>100</v>
      </c>
      <c r="H76" s="56">
        <f t="shared" si="1"/>
        <v>25.439999999999998</v>
      </c>
      <c r="I76" s="57">
        <v>1.44</v>
      </c>
    </row>
    <row r="77" spans="1:9" x14ac:dyDescent="0.25">
      <c r="A77" s="31">
        <v>71</v>
      </c>
      <c r="B77" s="3">
        <v>46077</v>
      </c>
      <c r="C77" s="4" t="s">
        <v>612</v>
      </c>
      <c r="D77" s="4" t="s">
        <v>11</v>
      </c>
      <c r="E77" s="4" t="s">
        <v>41</v>
      </c>
      <c r="F77" s="20">
        <v>1236.2</v>
      </c>
      <c r="G77" s="5">
        <v>0</v>
      </c>
      <c r="H77" s="56">
        <f t="shared" si="1"/>
        <v>1236.2</v>
      </c>
      <c r="I77" s="57">
        <v>46.2</v>
      </c>
    </row>
    <row r="78" spans="1:9" x14ac:dyDescent="0.25">
      <c r="A78" s="31">
        <v>72</v>
      </c>
      <c r="B78" s="6">
        <v>46077</v>
      </c>
      <c r="C78" s="7" t="s">
        <v>613</v>
      </c>
      <c r="D78" s="7" t="s">
        <v>29</v>
      </c>
      <c r="E78" s="7" t="s">
        <v>103</v>
      </c>
      <c r="F78" s="21">
        <v>0</v>
      </c>
      <c r="G78" s="8">
        <v>0</v>
      </c>
      <c r="H78" s="56">
        <f t="shared" si="1"/>
        <v>0</v>
      </c>
      <c r="I78" s="57">
        <v>0</v>
      </c>
    </row>
    <row r="79" spans="1:9" x14ac:dyDescent="0.25">
      <c r="A79" s="31">
        <v>73</v>
      </c>
      <c r="B79" s="3">
        <v>46077</v>
      </c>
      <c r="C79" s="4" t="s">
        <v>614</v>
      </c>
      <c r="D79" s="4" t="s">
        <v>20</v>
      </c>
      <c r="E79" s="4" t="s">
        <v>41</v>
      </c>
      <c r="F79" s="20">
        <v>848</v>
      </c>
      <c r="G79" s="5">
        <v>0</v>
      </c>
      <c r="H79" s="56">
        <f t="shared" si="1"/>
        <v>848</v>
      </c>
      <c r="I79" s="57">
        <v>48</v>
      </c>
    </row>
    <row r="80" spans="1:9" x14ac:dyDescent="0.25">
      <c r="A80" s="31">
        <v>74</v>
      </c>
      <c r="B80" s="6">
        <v>46078</v>
      </c>
      <c r="C80" s="7" t="s">
        <v>615</v>
      </c>
      <c r="D80" s="7" t="s">
        <v>9</v>
      </c>
      <c r="E80" s="7" t="s">
        <v>41</v>
      </c>
      <c r="F80" s="21">
        <v>3612</v>
      </c>
      <c r="G80" s="8">
        <v>0</v>
      </c>
      <c r="H80" s="56">
        <f t="shared" si="1"/>
        <v>3612</v>
      </c>
      <c r="I80" s="57">
        <v>192</v>
      </c>
    </row>
    <row r="81" spans="1:9" x14ac:dyDescent="0.25">
      <c r="A81" s="31">
        <v>75</v>
      </c>
      <c r="B81" s="3">
        <v>46078</v>
      </c>
      <c r="C81" s="4" t="s">
        <v>616</v>
      </c>
      <c r="D81" s="4" t="s">
        <v>251</v>
      </c>
      <c r="E81" s="4" t="s">
        <v>41</v>
      </c>
      <c r="F81" s="20">
        <v>1200</v>
      </c>
      <c r="G81" s="5">
        <v>300</v>
      </c>
      <c r="H81" s="56">
        <f t="shared" si="1"/>
        <v>900</v>
      </c>
      <c r="I81" s="57">
        <v>48</v>
      </c>
    </row>
    <row r="82" spans="1:9" x14ac:dyDescent="0.25">
      <c r="A82" s="31">
        <v>76</v>
      </c>
      <c r="B82" s="3">
        <v>46079</v>
      </c>
      <c r="C82" s="4" t="s">
        <v>617</v>
      </c>
      <c r="D82" s="4" t="s">
        <v>19</v>
      </c>
      <c r="E82" s="4" t="s">
        <v>41</v>
      </c>
      <c r="F82" s="20">
        <v>6300</v>
      </c>
      <c r="G82" s="5">
        <v>300</v>
      </c>
      <c r="H82" s="56">
        <f t="shared" si="1"/>
        <v>6000</v>
      </c>
      <c r="I82" s="57">
        <v>327.43</v>
      </c>
    </row>
    <row r="83" spans="1:9" x14ac:dyDescent="0.25">
      <c r="A83" s="31">
        <v>77</v>
      </c>
      <c r="B83" s="6">
        <v>46079</v>
      </c>
      <c r="C83" s="7" t="s">
        <v>618</v>
      </c>
      <c r="D83" s="7" t="s">
        <v>48</v>
      </c>
      <c r="E83" s="7" t="s">
        <v>41</v>
      </c>
      <c r="F83" s="21">
        <v>0</v>
      </c>
      <c r="G83" s="8">
        <v>0</v>
      </c>
      <c r="H83" s="56">
        <f t="shared" si="1"/>
        <v>0</v>
      </c>
      <c r="I83" s="57">
        <v>0</v>
      </c>
    </row>
    <row r="84" spans="1:9" x14ac:dyDescent="0.25">
      <c r="A84" s="31">
        <v>78</v>
      </c>
      <c r="B84" s="3">
        <v>46079</v>
      </c>
      <c r="C84" s="4" t="s">
        <v>619</v>
      </c>
      <c r="D84" s="4" t="s">
        <v>539</v>
      </c>
      <c r="E84" s="4" t="s">
        <v>41</v>
      </c>
      <c r="F84" s="20">
        <v>50.88</v>
      </c>
      <c r="G84" s="5">
        <v>0</v>
      </c>
      <c r="H84" s="56">
        <f t="shared" si="1"/>
        <v>50.88</v>
      </c>
      <c r="I84" s="57">
        <v>2.88</v>
      </c>
    </row>
    <row r="85" spans="1:9" x14ac:dyDescent="0.25">
      <c r="A85" s="31">
        <v>79</v>
      </c>
      <c r="B85" s="6">
        <v>46080</v>
      </c>
      <c r="C85" s="7" t="s">
        <v>620</v>
      </c>
      <c r="D85" s="7" t="s">
        <v>39</v>
      </c>
      <c r="E85" s="7" t="s">
        <v>41</v>
      </c>
      <c r="F85" s="21">
        <v>0</v>
      </c>
      <c r="G85" s="8">
        <v>0</v>
      </c>
      <c r="H85" s="56">
        <f t="shared" si="1"/>
        <v>0</v>
      </c>
      <c r="I85" s="57">
        <v>0</v>
      </c>
    </row>
    <row r="86" spans="1:9" x14ac:dyDescent="0.25">
      <c r="A86" s="31">
        <v>80</v>
      </c>
      <c r="B86" s="3">
        <v>46080</v>
      </c>
      <c r="C86" s="4" t="s">
        <v>621</v>
      </c>
      <c r="D86" s="4" t="s">
        <v>622</v>
      </c>
      <c r="E86" s="4" t="s">
        <v>41</v>
      </c>
      <c r="F86" s="20">
        <v>490.8</v>
      </c>
      <c r="G86" s="5">
        <v>300</v>
      </c>
      <c r="H86" s="56">
        <f t="shared" si="1"/>
        <v>190.8</v>
      </c>
      <c r="I86" s="57">
        <v>10.8</v>
      </c>
    </row>
    <row r="87" spans="1:9" x14ac:dyDescent="0.25">
      <c r="A87" s="31">
        <v>81</v>
      </c>
      <c r="B87" s="6">
        <v>46080</v>
      </c>
      <c r="C87" s="7" t="s">
        <v>623</v>
      </c>
      <c r="D87" s="7" t="s">
        <v>10</v>
      </c>
      <c r="E87" s="7" t="s">
        <v>41</v>
      </c>
      <c r="F87" s="21">
        <v>777</v>
      </c>
      <c r="G87" s="8">
        <v>300</v>
      </c>
      <c r="H87" s="56">
        <f t="shared" si="1"/>
        <v>477</v>
      </c>
      <c r="I87" s="57">
        <v>27</v>
      </c>
    </row>
    <row r="88" spans="1:9" x14ac:dyDescent="0.25">
      <c r="A88" s="31">
        <v>82</v>
      </c>
      <c r="B88" s="3">
        <v>46080</v>
      </c>
      <c r="C88" s="4" t="s">
        <v>624</v>
      </c>
      <c r="D88" s="4" t="s">
        <v>71</v>
      </c>
      <c r="E88" s="4" t="s">
        <v>41</v>
      </c>
      <c r="F88" s="20">
        <v>227.9</v>
      </c>
      <c r="G88" s="5">
        <v>0</v>
      </c>
      <c r="H88" s="56">
        <f t="shared" si="1"/>
        <v>227.9</v>
      </c>
      <c r="I88" s="57">
        <v>12.9</v>
      </c>
    </row>
    <row r="89" spans="1:9" x14ac:dyDescent="0.25">
      <c r="A89" s="31">
        <v>83</v>
      </c>
      <c r="B89" s="6">
        <v>46080</v>
      </c>
      <c r="C89" s="7" t="s">
        <v>625</v>
      </c>
      <c r="D89" s="7" t="s">
        <v>20</v>
      </c>
      <c r="E89" s="7" t="s">
        <v>41</v>
      </c>
      <c r="F89" s="21">
        <v>0</v>
      </c>
      <c r="G89" s="8">
        <v>0</v>
      </c>
      <c r="H89" s="56">
        <f t="shared" si="1"/>
        <v>0</v>
      </c>
      <c r="I89" s="57">
        <v>0</v>
      </c>
    </row>
    <row r="90" spans="1:9" x14ac:dyDescent="0.25">
      <c r="A90" s="31">
        <v>84</v>
      </c>
      <c r="B90" s="3">
        <v>46080</v>
      </c>
      <c r="C90" s="4" t="s">
        <v>626</v>
      </c>
      <c r="D90" s="4" t="s">
        <v>29</v>
      </c>
      <c r="E90" s="4" t="s">
        <v>41</v>
      </c>
      <c r="F90" s="20">
        <v>1081</v>
      </c>
      <c r="G90" s="5">
        <v>20</v>
      </c>
      <c r="H90" s="56">
        <f t="shared" si="1"/>
        <v>1061</v>
      </c>
      <c r="I90" s="57">
        <v>51</v>
      </c>
    </row>
    <row r="91" spans="1:9" x14ac:dyDescent="0.25">
      <c r="A91" s="31">
        <v>85</v>
      </c>
      <c r="B91" s="6">
        <v>46080</v>
      </c>
      <c r="C91" s="7" t="s">
        <v>627</v>
      </c>
      <c r="D91" s="7" t="s">
        <v>36</v>
      </c>
      <c r="E91" s="7" t="s">
        <v>41</v>
      </c>
      <c r="F91" s="21">
        <v>457.92</v>
      </c>
      <c r="G91" s="8">
        <v>0</v>
      </c>
      <c r="H91" s="56">
        <f t="shared" si="1"/>
        <v>457.92</v>
      </c>
      <c r="I91" s="57">
        <v>25.92</v>
      </c>
    </row>
    <row r="92" spans="1:9" x14ac:dyDescent="0.25">
      <c r="A92" s="31">
        <v>86</v>
      </c>
      <c r="B92" s="3">
        <v>46080</v>
      </c>
      <c r="C92" s="4" t="s">
        <v>628</v>
      </c>
      <c r="D92" s="4" t="s">
        <v>20</v>
      </c>
      <c r="E92" s="4" t="s">
        <v>41</v>
      </c>
      <c r="F92" s="20">
        <v>127.2</v>
      </c>
      <c r="G92" s="5">
        <v>0</v>
      </c>
      <c r="H92" s="56">
        <f t="shared" si="1"/>
        <v>127.2</v>
      </c>
      <c r="I92" s="57">
        <v>7.2</v>
      </c>
    </row>
    <row r="93" spans="1:9" x14ac:dyDescent="0.25">
      <c r="A93" s="31">
        <v>87</v>
      </c>
      <c r="B93" s="6">
        <v>46080</v>
      </c>
      <c r="C93" s="7" t="s">
        <v>629</v>
      </c>
      <c r="D93" s="7" t="s">
        <v>7</v>
      </c>
      <c r="E93" s="7" t="s">
        <v>41</v>
      </c>
      <c r="F93" s="21">
        <v>223.85</v>
      </c>
      <c r="G93" s="8">
        <v>200</v>
      </c>
      <c r="H93" s="56">
        <f t="shared" si="1"/>
        <v>23.849999999999994</v>
      </c>
      <c r="I93" s="57">
        <v>1.35</v>
      </c>
    </row>
    <row r="94" spans="1:9" x14ac:dyDescent="0.25">
      <c r="A94" s="31">
        <v>88</v>
      </c>
      <c r="B94" s="3">
        <v>46081</v>
      </c>
      <c r="C94" s="4" t="s">
        <v>630</v>
      </c>
      <c r="D94" s="4" t="s">
        <v>322</v>
      </c>
      <c r="E94" s="4" t="s">
        <v>41</v>
      </c>
      <c r="F94" s="20">
        <v>794</v>
      </c>
      <c r="G94" s="5">
        <v>200</v>
      </c>
      <c r="H94" s="56">
        <f t="shared" si="1"/>
        <v>594</v>
      </c>
      <c r="I94" s="57">
        <v>24</v>
      </c>
    </row>
    <row r="95" spans="1:9" x14ac:dyDescent="0.25">
      <c r="A95" s="31">
        <v>89</v>
      </c>
      <c r="B95" s="6">
        <v>46081</v>
      </c>
      <c r="C95" s="7" t="s">
        <v>631</v>
      </c>
      <c r="D95" s="7" t="s">
        <v>45</v>
      </c>
      <c r="E95" s="7" t="s">
        <v>41</v>
      </c>
      <c r="F95" s="21">
        <v>13911.5</v>
      </c>
      <c r="G95" s="8">
        <v>300</v>
      </c>
      <c r="H95" s="56">
        <f t="shared" si="1"/>
        <v>13611.5</v>
      </c>
      <c r="I95" s="57">
        <v>648.24</v>
      </c>
    </row>
    <row r="96" spans="1:9" x14ac:dyDescent="0.25">
      <c r="A96" s="31">
        <v>90</v>
      </c>
      <c r="B96" s="3">
        <v>46081</v>
      </c>
      <c r="C96" s="4" t="s">
        <v>632</v>
      </c>
      <c r="D96" s="4" t="s">
        <v>20</v>
      </c>
      <c r="E96" s="4" t="s">
        <v>41</v>
      </c>
      <c r="F96" s="20">
        <v>424</v>
      </c>
      <c r="G96" s="5">
        <v>0</v>
      </c>
      <c r="H96" s="56">
        <f t="shared" si="1"/>
        <v>424</v>
      </c>
      <c r="I96" s="57">
        <v>24</v>
      </c>
    </row>
    <row r="97" spans="1:9" ht="21" x14ac:dyDescent="0.25">
      <c r="A97" s="22" t="s">
        <v>15</v>
      </c>
      <c r="B97" s="18">
        <v>90</v>
      </c>
      <c r="C97" s="23"/>
      <c r="D97" s="15"/>
      <c r="E97" s="15"/>
      <c r="F97" s="19">
        <f>SUM(F7:F96)</f>
        <v>123595.68</v>
      </c>
      <c r="G97" s="16">
        <f>SUM(G7:G96)</f>
        <v>11820</v>
      </c>
      <c r="H97" s="17">
        <f>SUM(H7:H96)</f>
        <v>111775.67999999999</v>
      </c>
      <c r="I97" s="55">
        <f>SUM(I7:I96)</f>
        <v>4217.2999999999993</v>
      </c>
    </row>
    <row r="98" spans="1:9" ht="8.25" customHeight="1" x14ac:dyDescent="0.25">
      <c r="A98" s="2"/>
      <c r="B98" s="11"/>
      <c r="C98" s="11"/>
      <c r="D98" s="12"/>
      <c r="E98" s="12"/>
      <c r="F98" s="13"/>
      <c r="G98" s="14"/>
      <c r="H98" s="10"/>
    </row>
    <row r="99" spans="1:9" hidden="1" x14ac:dyDescent="0.25">
      <c r="A99" s="2"/>
      <c r="B99" s="11"/>
      <c r="C99" s="11"/>
      <c r="D99" s="12"/>
      <c r="E99" s="12"/>
      <c r="F99" s="13"/>
      <c r="G99" s="14"/>
      <c r="H99" s="10"/>
    </row>
    <row r="100" spans="1:9" ht="11.25" customHeight="1" x14ac:dyDescent="0.25"/>
    <row r="102" spans="1:9" x14ac:dyDescent="0.25">
      <c r="D102" s="26" t="s">
        <v>76</v>
      </c>
      <c r="E102" s="27">
        <f>H97</f>
        <v>111775.67999999999</v>
      </c>
      <c r="F102" s="68" t="s">
        <v>97</v>
      </c>
      <c r="G102" s="68"/>
      <c r="H102" s="28">
        <v>500</v>
      </c>
    </row>
    <row r="103" spans="1:9" x14ac:dyDescent="0.25">
      <c r="D103" s="26" t="s">
        <v>517</v>
      </c>
      <c r="E103" s="27">
        <f>I97</f>
        <v>4217.2999999999993</v>
      </c>
      <c r="F103" s="24"/>
      <c r="G103" s="24"/>
      <c r="H103" s="28"/>
    </row>
    <row r="104" spans="1:9" x14ac:dyDescent="0.25">
      <c r="D104" s="26" t="s">
        <v>633</v>
      </c>
      <c r="E104" s="27">
        <v>3211.5</v>
      </c>
      <c r="F104" s="24"/>
      <c r="G104" s="24"/>
      <c r="H104" s="28"/>
    </row>
    <row r="105" spans="1:9" x14ac:dyDescent="0.25">
      <c r="D105" s="26" t="s">
        <v>17</v>
      </c>
      <c r="E105" s="27">
        <v>93000</v>
      </c>
      <c r="F105" s="68"/>
      <c r="G105" s="68"/>
      <c r="H105" s="28"/>
    </row>
    <row r="106" spans="1:9" ht="30" customHeight="1" x14ac:dyDescent="0.25">
      <c r="D106" s="26" t="s">
        <v>77</v>
      </c>
      <c r="E106" s="27">
        <f>E102-E104-E105-E103</f>
        <v>11346.879999999994</v>
      </c>
      <c r="F106" s="70" t="s">
        <v>636</v>
      </c>
      <c r="G106" s="68"/>
      <c r="H106" s="28">
        <f>E106*1%</f>
        <v>113.46879999999994</v>
      </c>
    </row>
    <row r="107" spans="1:9" x14ac:dyDescent="0.25">
      <c r="F107" s="65" t="s">
        <v>47</v>
      </c>
      <c r="G107" s="65"/>
      <c r="H107" s="30">
        <f>H102+H106</f>
        <v>613.46879999999999</v>
      </c>
    </row>
    <row r="109" spans="1:9" x14ac:dyDescent="0.25">
      <c r="B109" s="67" t="s">
        <v>78</v>
      </c>
      <c r="C109" s="67"/>
      <c r="D109" s="67" t="s">
        <v>79</v>
      </c>
      <c r="E109" s="67"/>
      <c r="G109" s="25" t="s">
        <v>80</v>
      </c>
    </row>
    <row r="110" spans="1:9" x14ac:dyDescent="0.25">
      <c r="B110" s="29"/>
      <c r="C110" s="29"/>
      <c r="D110" s="29"/>
      <c r="E110" s="29"/>
      <c r="G110" s="25"/>
    </row>
    <row r="112" spans="1:9" x14ac:dyDescent="0.25">
      <c r="B112" s="66" t="s">
        <v>81</v>
      </c>
      <c r="C112" s="66"/>
      <c r="D112" s="66" t="s">
        <v>82</v>
      </c>
      <c r="E112" s="66"/>
      <c r="F112" s="66" t="s">
        <v>83</v>
      </c>
      <c r="G112" s="66"/>
      <c r="H112" s="66"/>
    </row>
    <row r="113" spans="2:8" x14ac:dyDescent="0.25">
      <c r="B113" s="66" t="s">
        <v>86</v>
      </c>
      <c r="C113" s="66"/>
      <c r="D113" s="66" t="s">
        <v>635</v>
      </c>
      <c r="E113" s="66"/>
      <c r="F113" s="66" t="s">
        <v>85</v>
      </c>
      <c r="G113" s="66"/>
      <c r="H113" s="66"/>
    </row>
    <row r="114" spans="2:8" x14ac:dyDescent="0.25">
      <c r="B114" s="69">
        <v>46084</v>
      </c>
      <c r="C114" s="66"/>
    </row>
  </sheetData>
  <mergeCells count="15">
    <mergeCell ref="B114:C114"/>
    <mergeCell ref="B109:C109"/>
    <mergeCell ref="D109:E109"/>
    <mergeCell ref="B112:C112"/>
    <mergeCell ref="D112:E112"/>
    <mergeCell ref="F112:H112"/>
    <mergeCell ref="B113:C113"/>
    <mergeCell ref="D113:E113"/>
    <mergeCell ref="F113:H113"/>
    <mergeCell ref="A3:D3"/>
    <mergeCell ref="A4:D4"/>
    <mergeCell ref="F102:G102"/>
    <mergeCell ref="F105:G105"/>
    <mergeCell ref="F106:G106"/>
    <mergeCell ref="F107:G107"/>
  </mergeCells>
  <pageMargins left="1.3779527559055118" right="0.98425196850393704" top="0.98425196850393704" bottom="0.98425196850393704" header="0.51181102362204722" footer="0.51181102362204722"/>
  <pageSetup paperSize="9" scale="72" fitToHeight="0" orientation="landscape" r:id="rId1"/>
  <rowBreaks count="1" manualBreakCount="1">
    <brk id="36" max="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4D90-7A9C-4FDA-B1C5-13E6814945EC}">
  <sheetPr>
    <pageSetUpPr fitToPage="1"/>
  </sheetPr>
  <dimension ref="A3:I97"/>
  <sheetViews>
    <sheetView view="pageBreakPreview" topLeftCell="A88" zoomScale="89" zoomScaleNormal="100" zoomScaleSheetLayoutView="89" workbookViewId="0">
      <selection activeCell="D94" sqref="D94"/>
    </sheetView>
  </sheetViews>
  <sheetFormatPr defaultRowHeight="15" x14ac:dyDescent="0.25"/>
  <cols>
    <col min="2" max="2" width="15.7109375" customWidth="1"/>
    <col min="3" max="3" width="10" customWidth="1"/>
    <col min="4" max="4" width="49.7109375" customWidth="1"/>
    <col min="5" max="5" width="25" customWidth="1"/>
    <col min="6" max="6" width="12.7109375" customWidth="1"/>
    <col min="7" max="7" width="14.28515625" customWidth="1"/>
    <col min="8" max="8" width="14.140625" customWidth="1"/>
    <col min="9" max="9" width="12.7109375" customWidth="1"/>
  </cols>
  <sheetData>
    <row r="3" spans="1:9" x14ac:dyDescent="0.25">
      <c r="A3" s="64" t="s">
        <v>731</v>
      </c>
      <c r="B3" s="64"/>
      <c r="C3" s="64"/>
      <c r="D3" s="64"/>
    </row>
    <row r="4" spans="1:9" x14ac:dyDescent="0.25">
      <c r="A4" s="64" t="s">
        <v>87</v>
      </c>
      <c r="B4" s="64"/>
      <c r="C4" s="64"/>
      <c r="D4" s="64"/>
    </row>
    <row r="6" spans="1:9" ht="21" customHeight="1" x14ac:dyDescent="0.25">
      <c r="A6" s="1" t="s">
        <v>0</v>
      </c>
      <c r="B6" s="1" t="s">
        <v>1</v>
      </c>
      <c r="C6" s="1" t="s">
        <v>88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51" t="s">
        <v>516</v>
      </c>
    </row>
    <row r="7" spans="1:9" ht="21" customHeight="1" x14ac:dyDescent="0.25">
      <c r="A7" s="31">
        <v>1</v>
      </c>
      <c r="B7" s="3">
        <v>46082</v>
      </c>
      <c r="C7" s="4" t="s">
        <v>637</v>
      </c>
      <c r="D7" s="4" t="s">
        <v>12</v>
      </c>
      <c r="E7" s="4" t="s">
        <v>41</v>
      </c>
      <c r="F7" s="20">
        <v>195</v>
      </c>
      <c r="G7" s="5">
        <v>0</v>
      </c>
      <c r="H7" s="60">
        <f>F7-G7</f>
        <v>195</v>
      </c>
      <c r="I7" s="61">
        <v>0</v>
      </c>
    </row>
    <row r="8" spans="1:9" ht="21" customHeight="1" x14ac:dyDescent="0.25">
      <c r="A8" s="31">
        <v>2</v>
      </c>
      <c r="B8" s="6">
        <v>46082</v>
      </c>
      <c r="C8" s="7" t="s">
        <v>638</v>
      </c>
      <c r="D8" s="7" t="s">
        <v>20</v>
      </c>
      <c r="E8" s="7" t="s">
        <v>41</v>
      </c>
      <c r="F8" s="21">
        <v>1073.57</v>
      </c>
      <c r="G8" s="8">
        <v>0</v>
      </c>
      <c r="H8" s="60">
        <f t="shared" ref="H8:H71" si="0">F8-G8</f>
        <v>1073.57</v>
      </c>
      <c r="I8" s="61">
        <v>60.77</v>
      </c>
    </row>
    <row r="9" spans="1:9" ht="21" customHeight="1" x14ac:dyDescent="0.25">
      <c r="A9" s="31">
        <v>3</v>
      </c>
      <c r="B9" s="3">
        <v>46082</v>
      </c>
      <c r="C9" s="4" t="s">
        <v>639</v>
      </c>
      <c r="D9" s="4" t="s">
        <v>640</v>
      </c>
      <c r="E9" s="4" t="s">
        <v>41</v>
      </c>
      <c r="F9" s="20">
        <v>739.9</v>
      </c>
      <c r="G9" s="5">
        <v>300</v>
      </c>
      <c r="H9" s="60">
        <f t="shared" si="0"/>
        <v>439.9</v>
      </c>
      <c r="I9" s="61">
        <v>24.9</v>
      </c>
    </row>
    <row r="10" spans="1:9" ht="21" customHeight="1" x14ac:dyDescent="0.25">
      <c r="A10" s="31">
        <v>4</v>
      </c>
      <c r="B10" s="6">
        <v>46083</v>
      </c>
      <c r="C10" s="7" t="s">
        <v>641</v>
      </c>
      <c r="D10" s="7" t="s">
        <v>642</v>
      </c>
      <c r="E10" s="7" t="s">
        <v>41</v>
      </c>
      <c r="F10" s="21">
        <v>2036.4</v>
      </c>
      <c r="G10" s="8">
        <v>300</v>
      </c>
      <c r="H10" s="60">
        <f t="shared" si="0"/>
        <v>1736.4</v>
      </c>
      <c r="I10" s="61">
        <v>86.4</v>
      </c>
    </row>
    <row r="11" spans="1:9" ht="21" customHeight="1" x14ac:dyDescent="0.25">
      <c r="A11" s="31">
        <v>5</v>
      </c>
      <c r="B11" s="3">
        <v>46083</v>
      </c>
      <c r="C11" s="4" t="s">
        <v>643</v>
      </c>
      <c r="D11" s="4" t="s">
        <v>37</v>
      </c>
      <c r="E11" s="4" t="s">
        <v>41</v>
      </c>
      <c r="F11" s="20">
        <v>5611.5</v>
      </c>
      <c r="G11" s="5">
        <v>0</v>
      </c>
      <c r="H11" s="60">
        <f t="shared" si="0"/>
        <v>5611.5</v>
      </c>
      <c r="I11" s="61">
        <v>391.5</v>
      </c>
    </row>
    <row r="12" spans="1:9" ht="21" customHeight="1" x14ac:dyDescent="0.25">
      <c r="A12" s="31">
        <v>6</v>
      </c>
      <c r="B12" s="6">
        <v>46083</v>
      </c>
      <c r="C12" s="7" t="s">
        <v>644</v>
      </c>
      <c r="D12" s="7" t="s">
        <v>20</v>
      </c>
      <c r="E12" s="7" t="s">
        <v>41</v>
      </c>
      <c r="F12" s="21">
        <v>496.08</v>
      </c>
      <c r="G12" s="8">
        <v>0</v>
      </c>
      <c r="H12" s="60">
        <f t="shared" si="0"/>
        <v>496.08</v>
      </c>
      <c r="I12" s="61">
        <v>28.08</v>
      </c>
    </row>
    <row r="13" spans="1:9" ht="21" customHeight="1" x14ac:dyDescent="0.25">
      <c r="A13" s="31">
        <v>7</v>
      </c>
      <c r="B13" s="3">
        <v>46083</v>
      </c>
      <c r="C13" s="4" t="s">
        <v>645</v>
      </c>
      <c r="D13" s="4" t="s">
        <v>451</v>
      </c>
      <c r="E13" s="4" t="s">
        <v>41</v>
      </c>
      <c r="F13" s="20">
        <v>488.32</v>
      </c>
      <c r="G13" s="5">
        <v>200</v>
      </c>
      <c r="H13" s="60">
        <f t="shared" si="0"/>
        <v>288.32</v>
      </c>
      <c r="I13" s="61">
        <v>16.32</v>
      </c>
    </row>
    <row r="14" spans="1:9" ht="21" customHeight="1" x14ac:dyDescent="0.25">
      <c r="A14" s="31">
        <v>8</v>
      </c>
      <c r="B14" s="6">
        <v>46084</v>
      </c>
      <c r="C14" s="7" t="s">
        <v>646</v>
      </c>
      <c r="D14" s="7" t="s">
        <v>93</v>
      </c>
      <c r="E14" s="7" t="s">
        <v>41</v>
      </c>
      <c r="F14" s="21">
        <v>1200</v>
      </c>
      <c r="G14" s="8">
        <v>0</v>
      </c>
      <c r="H14" s="60">
        <f t="shared" si="0"/>
        <v>1200</v>
      </c>
      <c r="I14" s="61">
        <v>58.5</v>
      </c>
    </row>
    <row r="15" spans="1:9" ht="21" customHeight="1" x14ac:dyDescent="0.25">
      <c r="A15" s="31">
        <v>9</v>
      </c>
      <c r="B15" s="3">
        <v>46084</v>
      </c>
      <c r="C15" s="4" t="s">
        <v>647</v>
      </c>
      <c r="D15" s="4" t="s">
        <v>648</v>
      </c>
      <c r="E15" s="4" t="s">
        <v>41</v>
      </c>
      <c r="F15" s="20">
        <v>2400</v>
      </c>
      <c r="G15" s="5">
        <v>300</v>
      </c>
      <c r="H15" s="60">
        <f t="shared" si="0"/>
        <v>2100</v>
      </c>
      <c r="I15" s="61">
        <v>125.1</v>
      </c>
    </row>
    <row r="16" spans="1:9" ht="21" customHeight="1" x14ac:dyDescent="0.25">
      <c r="A16" s="31">
        <v>10</v>
      </c>
      <c r="B16" s="6">
        <v>46084</v>
      </c>
      <c r="C16" s="7" t="s">
        <v>649</v>
      </c>
      <c r="D16" s="7" t="s">
        <v>59</v>
      </c>
      <c r="E16" s="7" t="s">
        <v>41</v>
      </c>
      <c r="F16" s="21">
        <v>84.8</v>
      </c>
      <c r="G16" s="8">
        <v>0</v>
      </c>
      <c r="H16" s="60">
        <f t="shared" si="0"/>
        <v>84.8</v>
      </c>
      <c r="I16" s="61">
        <v>4.8</v>
      </c>
    </row>
    <row r="17" spans="1:9" ht="21" customHeight="1" x14ac:dyDescent="0.25">
      <c r="A17" s="31">
        <v>11</v>
      </c>
      <c r="B17" s="3">
        <v>46085</v>
      </c>
      <c r="C17" s="4" t="s">
        <v>650</v>
      </c>
      <c r="D17" s="4" t="s">
        <v>118</v>
      </c>
      <c r="E17" s="4" t="s">
        <v>41</v>
      </c>
      <c r="F17" s="20">
        <v>2540.9</v>
      </c>
      <c r="G17" s="5">
        <v>0</v>
      </c>
      <c r="H17" s="60">
        <f t="shared" si="0"/>
        <v>2540.9</v>
      </c>
      <c r="I17" s="61">
        <v>135.9</v>
      </c>
    </row>
    <row r="18" spans="1:9" ht="21" customHeight="1" x14ac:dyDescent="0.25">
      <c r="A18" s="31">
        <v>12</v>
      </c>
      <c r="B18" s="6">
        <v>46085</v>
      </c>
      <c r="C18" s="7" t="s">
        <v>651</v>
      </c>
      <c r="D18" s="7" t="s">
        <v>24</v>
      </c>
      <c r="E18" s="7" t="s">
        <v>42</v>
      </c>
      <c r="F18" s="21">
        <v>550</v>
      </c>
      <c r="G18" s="8">
        <v>0</v>
      </c>
      <c r="H18" s="60">
        <f t="shared" si="0"/>
        <v>550</v>
      </c>
      <c r="I18" s="61">
        <v>0</v>
      </c>
    </row>
    <row r="19" spans="1:9" ht="21" customHeight="1" x14ac:dyDescent="0.25">
      <c r="A19" s="31">
        <v>13</v>
      </c>
      <c r="B19" s="3">
        <v>46085</v>
      </c>
      <c r="C19" s="4" t="s">
        <v>652</v>
      </c>
      <c r="D19" s="4" t="s">
        <v>12</v>
      </c>
      <c r="E19" s="4" t="s">
        <v>41</v>
      </c>
      <c r="F19" s="20">
        <v>601.25</v>
      </c>
      <c r="G19" s="5">
        <v>0</v>
      </c>
      <c r="H19" s="60">
        <f t="shared" si="0"/>
        <v>601.25</v>
      </c>
      <c r="I19" s="61">
        <v>0</v>
      </c>
    </row>
    <row r="20" spans="1:9" ht="21" customHeight="1" x14ac:dyDescent="0.25">
      <c r="A20" s="31">
        <v>14</v>
      </c>
      <c r="B20" s="6">
        <v>46085</v>
      </c>
      <c r="C20" s="7" t="s">
        <v>653</v>
      </c>
      <c r="D20" s="7" t="s">
        <v>38</v>
      </c>
      <c r="E20" s="7" t="s">
        <v>41</v>
      </c>
      <c r="F20" s="21">
        <v>53</v>
      </c>
      <c r="G20" s="8">
        <v>0</v>
      </c>
      <c r="H20" s="60">
        <f t="shared" si="0"/>
        <v>53</v>
      </c>
      <c r="I20" s="61">
        <v>3</v>
      </c>
    </row>
    <row r="21" spans="1:9" ht="21" customHeight="1" x14ac:dyDescent="0.25">
      <c r="A21" s="31">
        <v>15</v>
      </c>
      <c r="B21" s="3">
        <v>46086</v>
      </c>
      <c r="C21" s="4" t="s">
        <v>654</v>
      </c>
      <c r="D21" s="4" t="s">
        <v>551</v>
      </c>
      <c r="E21" s="4" t="s">
        <v>41</v>
      </c>
      <c r="F21" s="20">
        <v>1163.2</v>
      </c>
      <c r="G21" s="5">
        <v>0</v>
      </c>
      <c r="H21" s="60">
        <f t="shared" si="0"/>
        <v>1163.2</v>
      </c>
      <c r="I21" s="61">
        <v>43.2</v>
      </c>
    </row>
    <row r="22" spans="1:9" ht="21" customHeight="1" x14ac:dyDescent="0.25">
      <c r="A22" s="31">
        <v>16</v>
      </c>
      <c r="B22" s="6">
        <v>46086</v>
      </c>
      <c r="C22" s="7" t="s">
        <v>655</v>
      </c>
      <c r="D22" s="7" t="s">
        <v>30</v>
      </c>
      <c r="E22" s="7" t="s">
        <v>41</v>
      </c>
      <c r="F22" s="21">
        <v>58.3</v>
      </c>
      <c r="G22" s="8">
        <v>0</v>
      </c>
      <c r="H22" s="60">
        <f t="shared" si="0"/>
        <v>58.3</v>
      </c>
      <c r="I22" s="61">
        <v>3.3</v>
      </c>
    </row>
    <row r="23" spans="1:9" ht="19.5" customHeight="1" x14ac:dyDescent="0.3">
      <c r="A23" s="31">
        <v>17</v>
      </c>
      <c r="B23" s="3">
        <v>46086</v>
      </c>
      <c r="C23" s="4" t="s">
        <v>656</v>
      </c>
      <c r="D23" s="4" t="s">
        <v>36</v>
      </c>
      <c r="E23" s="4" t="s">
        <v>41</v>
      </c>
      <c r="F23" s="20">
        <v>454.74</v>
      </c>
      <c r="G23" s="5">
        <v>0</v>
      </c>
      <c r="H23" s="60">
        <f t="shared" si="0"/>
        <v>454.74</v>
      </c>
      <c r="I23" s="62">
        <v>25.74</v>
      </c>
    </row>
    <row r="24" spans="1:9" ht="19.5" customHeight="1" x14ac:dyDescent="0.3">
      <c r="A24" s="31">
        <v>18</v>
      </c>
      <c r="B24" s="6">
        <v>46086</v>
      </c>
      <c r="C24" s="7" t="s">
        <v>657</v>
      </c>
      <c r="D24" s="7" t="s">
        <v>93</v>
      </c>
      <c r="E24" s="7" t="s">
        <v>41</v>
      </c>
      <c r="F24" s="21">
        <v>1407.68</v>
      </c>
      <c r="G24" s="8">
        <v>0</v>
      </c>
      <c r="H24" s="60">
        <f t="shared" si="0"/>
        <v>1407.68</v>
      </c>
      <c r="I24" s="62">
        <v>79.680000000000007</v>
      </c>
    </row>
    <row r="25" spans="1:9" ht="20.25" customHeight="1" x14ac:dyDescent="0.3">
      <c r="A25" s="31">
        <v>19</v>
      </c>
      <c r="B25" s="3">
        <v>46087</v>
      </c>
      <c r="C25" s="4" t="s">
        <v>658</v>
      </c>
      <c r="D25" s="4" t="s">
        <v>50</v>
      </c>
      <c r="E25" s="4" t="s">
        <v>41</v>
      </c>
      <c r="F25" s="20">
        <v>2292.4</v>
      </c>
      <c r="G25" s="5">
        <v>0</v>
      </c>
      <c r="H25" s="60">
        <f t="shared" si="0"/>
        <v>2292.4</v>
      </c>
      <c r="I25" s="62">
        <v>122.4</v>
      </c>
    </row>
    <row r="26" spans="1:9" ht="23.25" customHeight="1" x14ac:dyDescent="0.3">
      <c r="A26" s="31">
        <v>20</v>
      </c>
      <c r="B26" s="6">
        <v>46087</v>
      </c>
      <c r="C26" s="7" t="s">
        <v>659</v>
      </c>
      <c r="D26" s="7" t="s">
        <v>660</v>
      </c>
      <c r="E26" s="7" t="s">
        <v>41</v>
      </c>
      <c r="F26" s="21">
        <v>2746.5</v>
      </c>
      <c r="G26" s="8">
        <v>300</v>
      </c>
      <c r="H26" s="60">
        <f t="shared" si="0"/>
        <v>2446.5</v>
      </c>
      <c r="I26" s="63">
        <v>121.5</v>
      </c>
    </row>
    <row r="27" spans="1:9" ht="18" customHeight="1" x14ac:dyDescent="0.3">
      <c r="A27" s="31">
        <v>21</v>
      </c>
      <c r="B27" s="3">
        <v>46087</v>
      </c>
      <c r="C27" s="4" t="s">
        <v>661</v>
      </c>
      <c r="D27" s="4" t="s">
        <v>662</v>
      </c>
      <c r="E27" s="4" t="s">
        <v>41</v>
      </c>
      <c r="F27" s="20">
        <v>327.2</v>
      </c>
      <c r="G27" s="5">
        <v>200</v>
      </c>
      <c r="H27" s="60">
        <f t="shared" si="0"/>
        <v>127.19999999999999</v>
      </c>
      <c r="I27" s="62">
        <v>7.2</v>
      </c>
    </row>
    <row r="28" spans="1:9" ht="19.5" customHeight="1" x14ac:dyDescent="0.3">
      <c r="A28" s="31">
        <v>22</v>
      </c>
      <c r="B28" s="6">
        <v>46087</v>
      </c>
      <c r="C28" s="7" t="s">
        <v>663</v>
      </c>
      <c r="D28" s="7" t="s">
        <v>664</v>
      </c>
      <c r="E28" s="7" t="s">
        <v>41</v>
      </c>
      <c r="F28" s="21">
        <v>918.7</v>
      </c>
      <c r="G28" s="8">
        <v>300</v>
      </c>
      <c r="H28" s="60">
        <f t="shared" si="0"/>
        <v>618.70000000000005</v>
      </c>
      <c r="I28" s="62">
        <v>23.7</v>
      </c>
    </row>
    <row r="29" spans="1:9" ht="19.5" customHeight="1" x14ac:dyDescent="0.3">
      <c r="A29" s="31">
        <v>23</v>
      </c>
      <c r="B29" s="3">
        <v>46087</v>
      </c>
      <c r="C29" s="4" t="s">
        <v>665</v>
      </c>
      <c r="D29" s="4" t="s">
        <v>539</v>
      </c>
      <c r="E29" s="4" t="s">
        <v>41</v>
      </c>
      <c r="F29" s="20">
        <v>524</v>
      </c>
      <c r="G29" s="5">
        <v>100</v>
      </c>
      <c r="H29" s="60">
        <f t="shared" si="0"/>
        <v>424</v>
      </c>
      <c r="I29" s="62">
        <v>24</v>
      </c>
    </row>
    <row r="30" spans="1:9" ht="23.25" customHeight="1" x14ac:dyDescent="0.3">
      <c r="A30" s="31">
        <v>24</v>
      </c>
      <c r="B30" s="6">
        <v>46087</v>
      </c>
      <c r="C30" s="7" t="s">
        <v>666</v>
      </c>
      <c r="D30" s="7" t="s">
        <v>46</v>
      </c>
      <c r="E30" s="7" t="s">
        <v>41</v>
      </c>
      <c r="F30" s="21">
        <v>899.6</v>
      </c>
      <c r="G30" s="8">
        <v>200</v>
      </c>
      <c r="H30" s="60">
        <f t="shared" si="0"/>
        <v>699.6</v>
      </c>
      <c r="I30" s="62">
        <v>39.6</v>
      </c>
    </row>
    <row r="31" spans="1:9" ht="21.75" customHeight="1" x14ac:dyDescent="0.3">
      <c r="A31" s="31">
        <v>25</v>
      </c>
      <c r="B31" s="3">
        <v>46087</v>
      </c>
      <c r="C31" s="4" t="s">
        <v>667</v>
      </c>
      <c r="D31" s="4" t="s">
        <v>49</v>
      </c>
      <c r="E31" s="4" t="s">
        <v>41</v>
      </c>
      <c r="F31" s="20">
        <v>103.35</v>
      </c>
      <c r="G31" s="5">
        <v>0</v>
      </c>
      <c r="H31" s="60">
        <f t="shared" si="0"/>
        <v>103.35</v>
      </c>
      <c r="I31" s="62">
        <v>5.85</v>
      </c>
    </row>
    <row r="32" spans="1:9" ht="20.25" customHeight="1" x14ac:dyDescent="0.3">
      <c r="A32" s="31">
        <v>26</v>
      </c>
      <c r="B32" s="6">
        <v>46087</v>
      </c>
      <c r="C32" s="7" t="s">
        <v>668</v>
      </c>
      <c r="D32" s="7" t="s">
        <v>297</v>
      </c>
      <c r="E32" s="7" t="s">
        <v>41</v>
      </c>
      <c r="F32" s="21">
        <v>709.65</v>
      </c>
      <c r="G32" s="8">
        <v>200</v>
      </c>
      <c r="H32" s="60">
        <f t="shared" si="0"/>
        <v>509.65</v>
      </c>
      <c r="I32" s="62">
        <v>28.85</v>
      </c>
    </row>
    <row r="33" spans="1:9" ht="20.25" customHeight="1" x14ac:dyDescent="0.3">
      <c r="A33" s="31">
        <v>27</v>
      </c>
      <c r="B33" s="3">
        <v>46088</v>
      </c>
      <c r="C33" s="4" t="s">
        <v>669</v>
      </c>
      <c r="D33" s="4" t="s">
        <v>606</v>
      </c>
      <c r="E33" s="4" t="s">
        <v>41</v>
      </c>
      <c r="F33" s="20">
        <v>3004.12</v>
      </c>
      <c r="G33" s="5">
        <v>0</v>
      </c>
      <c r="H33" s="60">
        <f t="shared" si="0"/>
        <v>3004.12</v>
      </c>
      <c r="I33" s="62">
        <v>162.12</v>
      </c>
    </row>
    <row r="34" spans="1:9" ht="18" customHeight="1" x14ac:dyDescent="0.3">
      <c r="A34" s="31">
        <v>28</v>
      </c>
      <c r="B34" s="6">
        <v>46088</v>
      </c>
      <c r="C34" s="7" t="s">
        <v>670</v>
      </c>
      <c r="D34" s="7" t="s">
        <v>69</v>
      </c>
      <c r="E34" s="7" t="s">
        <v>103</v>
      </c>
      <c r="F34" s="21">
        <v>395.4</v>
      </c>
      <c r="G34" s="8">
        <v>300</v>
      </c>
      <c r="H34" s="60">
        <f t="shared" si="0"/>
        <v>95.399999999999977</v>
      </c>
      <c r="I34" s="62">
        <v>5.4</v>
      </c>
    </row>
    <row r="35" spans="1:9" ht="21" customHeight="1" x14ac:dyDescent="0.3">
      <c r="A35" s="31">
        <v>29</v>
      </c>
      <c r="B35" s="3">
        <v>46088</v>
      </c>
      <c r="C35" s="4" t="s">
        <v>671</v>
      </c>
      <c r="D35" s="4" t="s">
        <v>21</v>
      </c>
      <c r="E35" s="4" t="s">
        <v>41</v>
      </c>
      <c r="F35" s="20">
        <v>512</v>
      </c>
      <c r="G35" s="5">
        <v>300</v>
      </c>
      <c r="H35" s="60">
        <f t="shared" si="0"/>
        <v>212</v>
      </c>
      <c r="I35" s="62">
        <v>12</v>
      </c>
    </row>
    <row r="36" spans="1:9" ht="18.75" customHeight="1" x14ac:dyDescent="0.3">
      <c r="A36" s="31">
        <v>30</v>
      </c>
      <c r="B36" s="6">
        <v>46089</v>
      </c>
      <c r="C36" s="7" t="s">
        <v>672</v>
      </c>
      <c r="D36" s="7" t="s">
        <v>58</v>
      </c>
      <c r="E36" s="7" t="s">
        <v>41</v>
      </c>
      <c r="F36" s="21">
        <v>2907.14</v>
      </c>
      <c r="G36" s="8">
        <v>400</v>
      </c>
      <c r="H36" s="60">
        <f t="shared" si="0"/>
        <v>2507.14</v>
      </c>
      <c r="I36" s="62">
        <v>121.54</v>
      </c>
    </row>
    <row r="37" spans="1:9" ht="18.75" customHeight="1" x14ac:dyDescent="0.3">
      <c r="A37" s="31">
        <v>31</v>
      </c>
      <c r="B37" s="3">
        <v>46089</v>
      </c>
      <c r="C37" s="4" t="s">
        <v>673</v>
      </c>
      <c r="D37" s="4" t="s">
        <v>58</v>
      </c>
      <c r="E37" s="4" t="s">
        <v>42</v>
      </c>
      <c r="F37" s="20">
        <v>200</v>
      </c>
      <c r="G37" s="5">
        <v>0</v>
      </c>
      <c r="H37" s="60">
        <f t="shared" si="0"/>
        <v>200</v>
      </c>
      <c r="I37" s="62">
        <v>0</v>
      </c>
    </row>
    <row r="38" spans="1:9" ht="18.75" customHeight="1" x14ac:dyDescent="0.3">
      <c r="A38" s="31">
        <v>32</v>
      </c>
      <c r="B38" s="6">
        <v>46090</v>
      </c>
      <c r="C38" s="7" t="s">
        <v>674</v>
      </c>
      <c r="D38" s="7" t="s">
        <v>118</v>
      </c>
      <c r="E38" s="7" t="s">
        <v>41</v>
      </c>
      <c r="F38" s="21">
        <v>585.20000000000005</v>
      </c>
      <c r="G38" s="8">
        <v>0</v>
      </c>
      <c r="H38" s="60">
        <f t="shared" si="0"/>
        <v>585.20000000000005</v>
      </c>
      <c r="I38" s="62">
        <v>25.2</v>
      </c>
    </row>
    <row r="39" spans="1:9" ht="21.75" customHeight="1" x14ac:dyDescent="0.3">
      <c r="A39" s="31">
        <v>33</v>
      </c>
      <c r="B39" s="3">
        <v>46090</v>
      </c>
      <c r="C39" s="4" t="s">
        <v>675</v>
      </c>
      <c r="D39" s="4" t="s">
        <v>36</v>
      </c>
      <c r="E39" s="4" t="s">
        <v>41</v>
      </c>
      <c r="F39" s="20">
        <v>1519.08</v>
      </c>
      <c r="G39" s="5">
        <v>0</v>
      </c>
      <c r="H39" s="60">
        <f t="shared" si="0"/>
        <v>1519.08</v>
      </c>
      <c r="I39" s="62">
        <v>76.08</v>
      </c>
    </row>
    <row r="40" spans="1:9" ht="21" customHeight="1" x14ac:dyDescent="0.3">
      <c r="A40" s="31">
        <v>34</v>
      </c>
      <c r="B40" s="6">
        <v>46090</v>
      </c>
      <c r="C40" s="7" t="s">
        <v>676</v>
      </c>
      <c r="D40" s="7" t="s">
        <v>539</v>
      </c>
      <c r="E40" s="7" t="s">
        <v>41</v>
      </c>
      <c r="F40" s="21">
        <v>135.15</v>
      </c>
      <c r="G40" s="8">
        <v>0</v>
      </c>
      <c r="H40" s="60">
        <f t="shared" si="0"/>
        <v>135.15</v>
      </c>
      <c r="I40" s="62">
        <v>7.65</v>
      </c>
    </row>
    <row r="41" spans="1:9" ht="18.75" customHeight="1" x14ac:dyDescent="0.3">
      <c r="A41" s="31">
        <v>35</v>
      </c>
      <c r="B41" s="3">
        <v>46090</v>
      </c>
      <c r="C41" s="4" t="s">
        <v>677</v>
      </c>
      <c r="D41" s="4" t="s">
        <v>12</v>
      </c>
      <c r="E41" s="4" t="s">
        <v>41</v>
      </c>
      <c r="F41" s="20">
        <v>360.75</v>
      </c>
      <c r="G41" s="5">
        <v>0</v>
      </c>
      <c r="H41" s="60">
        <f t="shared" si="0"/>
        <v>360.75</v>
      </c>
      <c r="I41" s="62">
        <v>0</v>
      </c>
    </row>
    <row r="42" spans="1:9" ht="20.25" customHeight="1" x14ac:dyDescent="0.3">
      <c r="A42" s="31">
        <v>36</v>
      </c>
      <c r="B42" s="6">
        <v>46090</v>
      </c>
      <c r="C42" s="7" t="s">
        <v>678</v>
      </c>
      <c r="D42" s="7" t="s">
        <v>38</v>
      </c>
      <c r="E42" s="7" t="s">
        <v>41</v>
      </c>
      <c r="F42" s="21">
        <v>477</v>
      </c>
      <c r="G42" s="8">
        <v>0</v>
      </c>
      <c r="H42" s="60">
        <f t="shared" si="0"/>
        <v>477</v>
      </c>
      <c r="I42" s="62">
        <v>27</v>
      </c>
    </row>
    <row r="43" spans="1:9" ht="20.25" customHeight="1" x14ac:dyDescent="0.3">
      <c r="A43" s="31">
        <v>37</v>
      </c>
      <c r="B43" s="3">
        <v>46090</v>
      </c>
      <c r="C43" s="4" t="s">
        <v>679</v>
      </c>
      <c r="D43" s="4" t="s">
        <v>326</v>
      </c>
      <c r="E43" s="4" t="s">
        <v>41</v>
      </c>
      <c r="F43" s="20">
        <v>63.6</v>
      </c>
      <c r="G43" s="5">
        <v>0</v>
      </c>
      <c r="H43" s="60">
        <f t="shared" si="0"/>
        <v>63.6</v>
      </c>
      <c r="I43" s="62">
        <v>3.6</v>
      </c>
    </row>
    <row r="44" spans="1:9" ht="21" customHeight="1" x14ac:dyDescent="0.3">
      <c r="A44" s="31">
        <v>38</v>
      </c>
      <c r="B44" s="6">
        <v>46091</v>
      </c>
      <c r="C44" s="7" t="s">
        <v>680</v>
      </c>
      <c r="D44" s="7" t="s">
        <v>499</v>
      </c>
      <c r="E44" s="7" t="s">
        <v>41</v>
      </c>
      <c r="F44" s="21">
        <v>0</v>
      </c>
      <c r="G44" s="8">
        <v>0</v>
      </c>
      <c r="H44" s="60">
        <f t="shared" si="0"/>
        <v>0</v>
      </c>
      <c r="I44" s="62">
        <v>0</v>
      </c>
    </row>
    <row r="45" spans="1:9" ht="21" customHeight="1" x14ac:dyDescent="0.3">
      <c r="A45" s="31">
        <v>39</v>
      </c>
      <c r="B45" s="3">
        <v>46091</v>
      </c>
      <c r="C45" s="4" t="s">
        <v>681</v>
      </c>
      <c r="D45" s="4" t="s">
        <v>46</v>
      </c>
      <c r="E45" s="4" t="s">
        <v>41</v>
      </c>
      <c r="F45" s="20">
        <v>798.18</v>
      </c>
      <c r="G45" s="5">
        <v>0</v>
      </c>
      <c r="H45" s="60">
        <f t="shared" si="0"/>
        <v>798.18</v>
      </c>
      <c r="I45" s="62">
        <v>45.18</v>
      </c>
    </row>
    <row r="46" spans="1:9" ht="19.5" customHeight="1" x14ac:dyDescent="0.3">
      <c r="A46" s="31">
        <v>40</v>
      </c>
      <c r="B46" s="6">
        <v>46092</v>
      </c>
      <c r="C46" s="7" t="s">
        <v>682</v>
      </c>
      <c r="D46" s="7" t="s">
        <v>39</v>
      </c>
      <c r="E46" s="7" t="s">
        <v>41</v>
      </c>
      <c r="F46" s="21">
        <v>2174.88</v>
      </c>
      <c r="G46" s="8">
        <v>0</v>
      </c>
      <c r="H46" s="60">
        <f t="shared" si="0"/>
        <v>2174.88</v>
      </c>
      <c r="I46" s="62">
        <v>115.18</v>
      </c>
    </row>
    <row r="47" spans="1:9" ht="20.25" customHeight="1" x14ac:dyDescent="0.3">
      <c r="A47" s="31">
        <v>41</v>
      </c>
      <c r="B47" s="3">
        <v>46093</v>
      </c>
      <c r="C47" s="4" t="s">
        <v>683</v>
      </c>
      <c r="D47" s="4" t="s">
        <v>30</v>
      </c>
      <c r="E47" s="4" t="s">
        <v>41</v>
      </c>
      <c r="F47" s="20">
        <v>327.2</v>
      </c>
      <c r="G47" s="5">
        <v>200</v>
      </c>
      <c r="H47" s="60">
        <f t="shared" si="0"/>
        <v>127.19999999999999</v>
      </c>
      <c r="I47" s="62">
        <v>7.2</v>
      </c>
    </row>
    <row r="48" spans="1:9" ht="21" customHeight="1" x14ac:dyDescent="0.3">
      <c r="A48" s="31">
        <v>42</v>
      </c>
      <c r="B48" s="6">
        <v>46094</v>
      </c>
      <c r="C48" s="7" t="s">
        <v>684</v>
      </c>
      <c r="D48" s="7" t="s">
        <v>685</v>
      </c>
      <c r="E48" s="7" t="s">
        <v>41</v>
      </c>
      <c r="F48" s="21">
        <v>3142.3</v>
      </c>
      <c r="G48" s="8">
        <v>300</v>
      </c>
      <c r="H48" s="60">
        <f t="shared" si="0"/>
        <v>2842.3</v>
      </c>
      <c r="I48" s="62">
        <v>147.30000000000001</v>
      </c>
    </row>
    <row r="49" spans="1:9" ht="20.25" customHeight="1" x14ac:dyDescent="0.3">
      <c r="A49" s="31">
        <v>43</v>
      </c>
      <c r="B49" s="3">
        <v>46094</v>
      </c>
      <c r="C49" s="4" t="s">
        <v>686</v>
      </c>
      <c r="D49" s="4" t="s">
        <v>687</v>
      </c>
      <c r="E49" s="4" t="s">
        <v>41</v>
      </c>
      <c r="F49" s="20">
        <v>570.83000000000004</v>
      </c>
      <c r="G49" s="5">
        <v>300</v>
      </c>
      <c r="H49" s="60">
        <f t="shared" si="0"/>
        <v>270.83000000000004</v>
      </c>
      <c r="I49" s="62">
        <v>15.33</v>
      </c>
    </row>
    <row r="50" spans="1:9" ht="18" customHeight="1" x14ac:dyDescent="0.3">
      <c r="A50" s="31">
        <v>44</v>
      </c>
      <c r="B50" s="6">
        <v>46094</v>
      </c>
      <c r="C50" s="7" t="s">
        <v>688</v>
      </c>
      <c r="D50" s="7" t="s">
        <v>39</v>
      </c>
      <c r="E50" s="7" t="s">
        <v>41</v>
      </c>
      <c r="F50" s="21">
        <v>1604.68</v>
      </c>
      <c r="G50" s="8">
        <v>0</v>
      </c>
      <c r="H50" s="60">
        <f t="shared" si="0"/>
        <v>1604.68</v>
      </c>
      <c r="I50" s="62">
        <v>78.38</v>
      </c>
    </row>
    <row r="51" spans="1:9" ht="20.25" customHeight="1" x14ac:dyDescent="0.3">
      <c r="A51" s="31">
        <v>45</v>
      </c>
      <c r="B51" s="3">
        <v>46094</v>
      </c>
      <c r="C51" s="4" t="s">
        <v>689</v>
      </c>
      <c r="D51" s="4" t="s">
        <v>330</v>
      </c>
      <c r="E51" s="4" t="s">
        <v>41</v>
      </c>
      <c r="F51" s="20">
        <v>2984</v>
      </c>
      <c r="G51" s="5">
        <v>300</v>
      </c>
      <c r="H51" s="60">
        <f t="shared" si="0"/>
        <v>2684</v>
      </c>
      <c r="I51" s="62">
        <v>144</v>
      </c>
    </row>
    <row r="52" spans="1:9" ht="20.25" customHeight="1" x14ac:dyDescent="0.3">
      <c r="A52" s="31">
        <v>46</v>
      </c>
      <c r="B52" s="6">
        <v>46094</v>
      </c>
      <c r="C52" s="7" t="s">
        <v>690</v>
      </c>
      <c r="D52" s="7" t="s">
        <v>691</v>
      </c>
      <c r="E52" s="7" t="s">
        <v>41</v>
      </c>
      <c r="F52" s="21">
        <v>583.19000000000005</v>
      </c>
      <c r="G52" s="8">
        <v>200</v>
      </c>
      <c r="H52" s="60">
        <f t="shared" si="0"/>
        <v>383.19000000000005</v>
      </c>
      <c r="I52" s="62">
        <v>21.69</v>
      </c>
    </row>
    <row r="53" spans="1:9" ht="23.25" customHeight="1" x14ac:dyDescent="0.3">
      <c r="A53" s="31">
        <v>47</v>
      </c>
      <c r="B53" s="3">
        <v>46095</v>
      </c>
      <c r="C53" s="4" t="s">
        <v>692</v>
      </c>
      <c r="D53" s="4" t="s">
        <v>12</v>
      </c>
      <c r="E53" s="4" t="s">
        <v>41</v>
      </c>
      <c r="F53" s="20">
        <v>650</v>
      </c>
      <c r="G53" s="5">
        <v>0</v>
      </c>
      <c r="H53" s="60">
        <f t="shared" si="0"/>
        <v>650</v>
      </c>
      <c r="I53" s="62">
        <v>0</v>
      </c>
    </row>
    <row r="54" spans="1:9" ht="21" customHeight="1" x14ac:dyDescent="0.3">
      <c r="A54" s="31">
        <v>48</v>
      </c>
      <c r="B54" s="6">
        <v>46096</v>
      </c>
      <c r="C54" s="7" t="s">
        <v>693</v>
      </c>
      <c r="D54" s="7" t="s">
        <v>27</v>
      </c>
      <c r="E54" s="7" t="s">
        <v>41</v>
      </c>
      <c r="F54" s="21">
        <v>0</v>
      </c>
      <c r="G54" s="8">
        <v>0</v>
      </c>
      <c r="H54" s="60">
        <f t="shared" si="0"/>
        <v>0</v>
      </c>
      <c r="I54" s="62">
        <v>0</v>
      </c>
    </row>
    <row r="55" spans="1:9" ht="21.75" customHeight="1" x14ac:dyDescent="0.3">
      <c r="A55" s="31">
        <v>49</v>
      </c>
      <c r="B55" s="3">
        <v>46097</v>
      </c>
      <c r="C55" s="4" t="s">
        <v>694</v>
      </c>
      <c r="D55" s="4" t="s">
        <v>11</v>
      </c>
      <c r="E55" s="4" t="s">
        <v>41</v>
      </c>
      <c r="F55" s="20">
        <v>201.4</v>
      </c>
      <c r="G55" s="5">
        <v>0</v>
      </c>
      <c r="H55" s="60">
        <f t="shared" si="0"/>
        <v>201.4</v>
      </c>
      <c r="I55" s="62">
        <v>11.4</v>
      </c>
    </row>
    <row r="56" spans="1:9" ht="21.75" customHeight="1" x14ac:dyDescent="0.3">
      <c r="A56" s="31">
        <v>50</v>
      </c>
      <c r="B56" s="6">
        <v>46097</v>
      </c>
      <c r="C56" s="7" t="s">
        <v>695</v>
      </c>
      <c r="D56" s="7" t="s">
        <v>34</v>
      </c>
      <c r="E56" s="7" t="s">
        <v>41</v>
      </c>
      <c r="F56" s="21">
        <v>385.54</v>
      </c>
      <c r="G56" s="8">
        <v>0</v>
      </c>
      <c r="H56" s="60">
        <f t="shared" si="0"/>
        <v>385.54</v>
      </c>
      <c r="I56" s="62">
        <v>21.54</v>
      </c>
    </row>
    <row r="57" spans="1:9" ht="21" customHeight="1" x14ac:dyDescent="0.3">
      <c r="A57" s="31">
        <v>51</v>
      </c>
      <c r="B57" s="3">
        <v>46097</v>
      </c>
      <c r="C57" s="4" t="s">
        <v>696</v>
      </c>
      <c r="D57" s="4" t="s">
        <v>39</v>
      </c>
      <c r="E57" s="4" t="s">
        <v>41</v>
      </c>
      <c r="F57" s="20">
        <v>581.94000000000005</v>
      </c>
      <c r="G57" s="5">
        <v>0</v>
      </c>
      <c r="H57" s="60">
        <f t="shared" si="0"/>
        <v>581.94000000000005</v>
      </c>
      <c r="I57" s="62">
        <v>32.94</v>
      </c>
    </row>
    <row r="58" spans="1:9" ht="20.25" customHeight="1" x14ac:dyDescent="0.3">
      <c r="A58" s="31">
        <v>52</v>
      </c>
      <c r="B58" s="6">
        <v>46097</v>
      </c>
      <c r="C58" s="7" t="s">
        <v>697</v>
      </c>
      <c r="D58" s="7" t="s">
        <v>93</v>
      </c>
      <c r="E58" s="7" t="s">
        <v>41</v>
      </c>
      <c r="F58" s="21">
        <v>57.24</v>
      </c>
      <c r="G58" s="8">
        <v>0</v>
      </c>
      <c r="H58" s="60">
        <f t="shared" si="0"/>
        <v>57.24</v>
      </c>
      <c r="I58" s="62">
        <v>3.24</v>
      </c>
    </row>
    <row r="59" spans="1:9" ht="23.25" customHeight="1" x14ac:dyDescent="0.3">
      <c r="A59" s="31">
        <v>53</v>
      </c>
      <c r="B59" s="3">
        <v>46098</v>
      </c>
      <c r="C59" s="4" t="s">
        <v>698</v>
      </c>
      <c r="D59" s="4" t="s">
        <v>699</v>
      </c>
      <c r="E59" s="4" t="s">
        <v>41</v>
      </c>
      <c r="F59" s="20">
        <v>2164.3000000000002</v>
      </c>
      <c r="G59" s="5">
        <v>300</v>
      </c>
      <c r="H59" s="60">
        <f t="shared" si="0"/>
        <v>1864.3000000000002</v>
      </c>
      <c r="I59" s="62">
        <v>93.92</v>
      </c>
    </row>
    <row r="60" spans="1:9" ht="18" customHeight="1" x14ac:dyDescent="0.3">
      <c r="A60" s="31">
        <v>54</v>
      </c>
      <c r="B60" s="6">
        <v>46099</v>
      </c>
      <c r="C60" s="7" t="s">
        <v>700</v>
      </c>
      <c r="D60" s="7" t="s">
        <v>65</v>
      </c>
      <c r="E60" s="7" t="s">
        <v>41</v>
      </c>
      <c r="F60" s="21">
        <v>0</v>
      </c>
      <c r="G60" s="8">
        <v>0</v>
      </c>
      <c r="H60" s="60">
        <f t="shared" si="0"/>
        <v>0</v>
      </c>
      <c r="I60" s="62">
        <v>0</v>
      </c>
    </row>
    <row r="61" spans="1:9" ht="21.75" customHeight="1" x14ac:dyDescent="0.3">
      <c r="A61" s="31">
        <v>55</v>
      </c>
      <c r="B61" s="3">
        <v>46105</v>
      </c>
      <c r="C61" s="4" t="s">
        <v>701</v>
      </c>
      <c r="D61" s="4" t="s">
        <v>702</v>
      </c>
      <c r="E61" s="4" t="s">
        <v>41</v>
      </c>
      <c r="F61" s="20">
        <v>1356</v>
      </c>
      <c r="G61" s="5">
        <v>300</v>
      </c>
      <c r="H61" s="60">
        <f t="shared" si="0"/>
        <v>1056</v>
      </c>
      <c r="I61" s="62">
        <v>36</v>
      </c>
    </row>
    <row r="62" spans="1:9" ht="21" customHeight="1" x14ac:dyDescent="0.3">
      <c r="A62" s="31">
        <v>56</v>
      </c>
      <c r="B62" s="6">
        <v>46108</v>
      </c>
      <c r="C62" s="7" t="s">
        <v>703</v>
      </c>
      <c r="D62" s="7" t="s">
        <v>704</v>
      </c>
      <c r="E62" s="7" t="s">
        <v>41</v>
      </c>
      <c r="F62" s="21">
        <v>3924.52</v>
      </c>
      <c r="G62" s="8">
        <v>300</v>
      </c>
      <c r="H62" s="60">
        <f t="shared" si="0"/>
        <v>3624.52</v>
      </c>
      <c r="I62" s="62">
        <v>182.52</v>
      </c>
    </row>
    <row r="63" spans="1:9" ht="21.75" customHeight="1" x14ac:dyDescent="0.3">
      <c r="A63" s="31">
        <v>57</v>
      </c>
      <c r="B63" s="3">
        <v>46108</v>
      </c>
      <c r="C63" s="4" t="s">
        <v>705</v>
      </c>
      <c r="D63" s="4" t="s">
        <v>706</v>
      </c>
      <c r="E63" s="4" t="s">
        <v>41</v>
      </c>
      <c r="F63" s="20">
        <v>460.33</v>
      </c>
      <c r="G63" s="5">
        <v>200</v>
      </c>
      <c r="H63" s="60">
        <f t="shared" si="0"/>
        <v>260.33</v>
      </c>
      <c r="I63" s="62">
        <v>15.33</v>
      </c>
    </row>
    <row r="64" spans="1:9" ht="24" customHeight="1" x14ac:dyDescent="0.3">
      <c r="A64" s="31">
        <v>58</v>
      </c>
      <c r="B64" s="6">
        <v>46108</v>
      </c>
      <c r="C64" s="7" t="s">
        <v>707</v>
      </c>
      <c r="D64" s="7" t="s">
        <v>708</v>
      </c>
      <c r="E64" s="7" t="s">
        <v>41</v>
      </c>
      <c r="F64" s="21">
        <v>353.7</v>
      </c>
      <c r="G64" s="8">
        <v>200</v>
      </c>
      <c r="H64" s="60">
        <f t="shared" si="0"/>
        <v>153.69999999999999</v>
      </c>
      <c r="I64" s="62">
        <v>8.6999999999999993</v>
      </c>
    </row>
    <row r="65" spans="1:9" ht="20.25" customHeight="1" x14ac:dyDescent="0.3">
      <c r="A65" s="31">
        <v>59</v>
      </c>
      <c r="B65" s="3">
        <v>46108</v>
      </c>
      <c r="C65" s="4" t="s">
        <v>709</v>
      </c>
      <c r="D65" s="4" t="s">
        <v>75</v>
      </c>
      <c r="E65" s="4" t="s">
        <v>41</v>
      </c>
      <c r="F65" s="20">
        <v>2425.64</v>
      </c>
      <c r="G65" s="5">
        <v>200</v>
      </c>
      <c r="H65" s="60">
        <f t="shared" si="0"/>
        <v>2225.64</v>
      </c>
      <c r="I65" s="62">
        <v>119.64</v>
      </c>
    </row>
    <row r="66" spans="1:9" ht="18" customHeight="1" x14ac:dyDescent="0.3">
      <c r="A66" s="31">
        <v>60</v>
      </c>
      <c r="B66" s="6">
        <v>46108</v>
      </c>
      <c r="C66" s="7" t="s">
        <v>710</v>
      </c>
      <c r="D66" s="7" t="s">
        <v>711</v>
      </c>
      <c r="E66" s="7" t="s">
        <v>41</v>
      </c>
      <c r="F66" s="21">
        <v>1631</v>
      </c>
      <c r="G66" s="8">
        <v>200</v>
      </c>
      <c r="H66" s="60">
        <f t="shared" si="0"/>
        <v>1431</v>
      </c>
      <c r="I66" s="62">
        <v>81</v>
      </c>
    </row>
    <row r="67" spans="1:9" ht="17.25" customHeight="1" x14ac:dyDescent="0.3">
      <c r="A67" s="31">
        <v>61</v>
      </c>
      <c r="B67" s="3">
        <v>46108</v>
      </c>
      <c r="C67" s="4" t="s">
        <v>712</v>
      </c>
      <c r="D67" s="4" t="s">
        <v>713</v>
      </c>
      <c r="E67" s="4" t="s">
        <v>41</v>
      </c>
      <c r="F67" s="20">
        <v>392.92</v>
      </c>
      <c r="G67" s="5">
        <v>200</v>
      </c>
      <c r="H67" s="60">
        <f t="shared" si="0"/>
        <v>192.92000000000002</v>
      </c>
      <c r="I67" s="62">
        <v>10.92</v>
      </c>
    </row>
    <row r="68" spans="1:9" ht="18" customHeight="1" x14ac:dyDescent="0.3">
      <c r="A68" s="31">
        <v>62</v>
      </c>
      <c r="B68" s="6">
        <v>46108</v>
      </c>
      <c r="C68" s="7" t="s">
        <v>714</v>
      </c>
      <c r="D68" s="7" t="s">
        <v>715</v>
      </c>
      <c r="E68" s="7" t="s">
        <v>41</v>
      </c>
      <c r="F68" s="21">
        <v>172</v>
      </c>
      <c r="G68" s="8">
        <v>0</v>
      </c>
      <c r="H68" s="60">
        <f t="shared" si="0"/>
        <v>172</v>
      </c>
      <c r="I68" s="62">
        <v>0</v>
      </c>
    </row>
    <row r="69" spans="1:9" ht="18.75" customHeight="1" x14ac:dyDescent="0.3">
      <c r="A69" s="31">
        <v>63</v>
      </c>
      <c r="B69" s="3">
        <v>46108</v>
      </c>
      <c r="C69" s="4" t="s">
        <v>716</v>
      </c>
      <c r="D69" s="4" t="s">
        <v>717</v>
      </c>
      <c r="E69" s="4" t="s">
        <v>41</v>
      </c>
      <c r="F69" s="20">
        <v>306</v>
      </c>
      <c r="G69" s="5">
        <v>200</v>
      </c>
      <c r="H69" s="60">
        <f t="shared" si="0"/>
        <v>106</v>
      </c>
      <c r="I69" s="62">
        <v>6</v>
      </c>
    </row>
    <row r="70" spans="1:9" ht="21" customHeight="1" x14ac:dyDescent="0.3">
      <c r="A70" s="31">
        <v>64</v>
      </c>
      <c r="B70" s="6">
        <v>46109</v>
      </c>
      <c r="C70" s="7" t="s">
        <v>718</v>
      </c>
      <c r="D70" s="7" t="s">
        <v>39</v>
      </c>
      <c r="E70" s="7" t="s">
        <v>41</v>
      </c>
      <c r="F70" s="21">
        <v>0</v>
      </c>
      <c r="G70" s="8">
        <v>0</v>
      </c>
      <c r="H70" s="60">
        <f t="shared" si="0"/>
        <v>0</v>
      </c>
      <c r="I70" s="62">
        <v>0</v>
      </c>
    </row>
    <row r="71" spans="1:9" ht="17.25" customHeight="1" x14ac:dyDescent="0.3">
      <c r="A71" s="31">
        <v>65</v>
      </c>
      <c r="B71" s="3">
        <v>46109</v>
      </c>
      <c r="C71" s="4" t="s">
        <v>719</v>
      </c>
      <c r="D71" s="4" t="s">
        <v>29</v>
      </c>
      <c r="E71" s="4" t="s">
        <v>41</v>
      </c>
      <c r="F71" s="20">
        <v>1214.5</v>
      </c>
      <c r="G71" s="5">
        <v>200</v>
      </c>
      <c r="H71" s="60">
        <f t="shared" si="0"/>
        <v>1014.5</v>
      </c>
      <c r="I71" s="62">
        <v>49.5</v>
      </c>
    </row>
    <row r="72" spans="1:9" ht="21.75" customHeight="1" x14ac:dyDescent="0.3">
      <c r="A72" s="31">
        <v>66</v>
      </c>
      <c r="B72" s="6">
        <v>46109</v>
      </c>
      <c r="C72" s="7" t="s">
        <v>720</v>
      </c>
      <c r="D72" s="7" t="s">
        <v>721</v>
      </c>
      <c r="E72" s="7" t="s">
        <v>41</v>
      </c>
      <c r="F72" s="21">
        <v>555.79999999999995</v>
      </c>
      <c r="G72" s="8">
        <v>100</v>
      </c>
      <c r="H72" s="60">
        <f t="shared" ref="H72:H80" si="1">F72-G72</f>
        <v>455.79999999999995</v>
      </c>
      <c r="I72" s="62">
        <v>25.8</v>
      </c>
    </row>
    <row r="73" spans="1:9" ht="19.5" customHeight="1" x14ac:dyDescent="0.3">
      <c r="A73" s="31">
        <v>67</v>
      </c>
      <c r="B73" s="3">
        <v>46109</v>
      </c>
      <c r="C73" s="4" t="s">
        <v>722</v>
      </c>
      <c r="D73" s="4" t="s">
        <v>723</v>
      </c>
      <c r="E73" s="4" t="s">
        <v>41</v>
      </c>
      <c r="F73" s="20">
        <v>348.4</v>
      </c>
      <c r="G73" s="5">
        <v>200</v>
      </c>
      <c r="H73" s="60">
        <f t="shared" si="1"/>
        <v>148.39999999999998</v>
      </c>
      <c r="I73" s="62">
        <v>8.4</v>
      </c>
    </row>
    <row r="74" spans="1:9" ht="21.75" customHeight="1" x14ac:dyDescent="0.3">
      <c r="A74" s="31">
        <v>68</v>
      </c>
      <c r="B74" s="6">
        <v>46109</v>
      </c>
      <c r="C74" s="7" t="s">
        <v>724</v>
      </c>
      <c r="D74" s="7" t="s">
        <v>33</v>
      </c>
      <c r="E74" s="7" t="s">
        <v>41</v>
      </c>
      <c r="F74" s="21">
        <v>21.2</v>
      </c>
      <c r="G74" s="8">
        <v>0</v>
      </c>
      <c r="H74" s="60">
        <f t="shared" si="1"/>
        <v>21.2</v>
      </c>
      <c r="I74" s="62">
        <v>1.2</v>
      </c>
    </row>
    <row r="75" spans="1:9" ht="19.5" customHeight="1" x14ac:dyDescent="0.3">
      <c r="A75" s="31">
        <v>69</v>
      </c>
      <c r="B75" s="3">
        <v>46110</v>
      </c>
      <c r="C75" s="4" t="s">
        <v>725</v>
      </c>
      <c r="D75" s="4" t="s">
        <v>539</v>
      </c>
      <c r="E75" s="4" t="s">
        <v>41</v>
      </c>
      <c r="F75" s="20">
        <v>1287.56</v>
      </c>
      <c r="G75" s="5">
        <v>200</v>
      </c>
      <c r="H75" s="60">
        <f t="shared" si="1"/>
        <v>1087.56</v>
      </c>
      <c r="I75" s="62">
        <v>61.56</v>
      </c>
    </row>
    <row r="76" spans="1:9" ht="21.75" customHeight="1" x14ac:dyDescent="0.3">
      <c r="A76" s="31">
        <v>70</v>
      </c>
      <c r="B76" s="6">
        <v>46111</v>
      </c>
      <c r="C76" s="7" t="s">
        <v>726</v>
      </c>
      <c r="D76" s="7" t="s">
        <v>57</v>
      </c>
      <c r="E76" s="7" t="s">
        <v>41</v>
      </c>
      <c r="F76" s="21">
        <v>318</v>
      </c>
      <c r="G76" s="8">
        <v>0</v>
      </c>
      <c r="H76" s="60">
        <f t="shared" si="1"/>
        <v>318</v>
      </c>
      <c r="I76" s="62">
        <v>18</v>
      </c>
    </row>
    <row r="77" spans="1:9" ht="19.5" customHeight="1" x14ac:dyDescent="0.3">
      <c r="A77" s="31">
        <v>71</v>
      </c>
      <c r="B77" s="3">
        <v>46111</v>
      </c>
      <c r="C77" s="4" t="s">
        <v>727</v>
      </c>
      <c r="D77" s="4" t="s">
        <v>611</v>
      </c>
      <c r="E77" s="4" t="s">
        <v>41</v>
      </c>
      <c r="F77" s="20">
        <v>896.5</v>
      </c>
      <c r="G77" s="5">
        <v>200</v>
      </c>
      <c r="H77" s="60">
        <f t="shared" si="1"/>
        <v>696.5</v>
      </c>
      <c r="I77" s="62">
        <v>31.5</v>
      </c>
    </row>
    <row r="78" spans="1:9" ht="18.75" customHeight="1" x14ac:dyDescent="0.3">
      <c r="A78" s="31">
        <v>72</v>
      </c>
      <c r="B78" s="6">
        <v>46111</v>
      </c>
      <c r="C78" s="7" t="s">
        <v>728</v>
      </c>
      <c r="D78" s="7" t="s">
        <v>57</v>
      </c>
      <c r="E78" s="7" t="s">
        <v>41</v>
      </c>
      <c r="F78" s="21">
        <v>237.44</v>
      </c>
      <c r="G78" s="8">
        <v>0</v>
      </c>
      <c r="H78" s="60">
        <f t="shared" si="1"/>
        <v>237.44</v>
      </c>
      <c r="I78" s="62">
        <v>13.44</v>
      </c>
    </row>
    <row r="79" spans="1:9" ht="19.5" customHeight="1" x14ac:dyDescent="0.3">
      <c r="A79" s="31">
        <v>73</v>
      </c>
      <c r="B79" s="3">
        <v>46111</v>
      </c>
      <c r="C79" s="4" t="s">
        <v>729</v>
      </c>
      <c r="D79" s="4" t="s">
        <v>48</v>
      </c>
      <c r="E79" s="4" t="s">
        <v>41</v>
      </c>
      <c r="F79" s="20">
        <v>618</v>
      </c>
      <c r="G79" s="5">
        <v>300</v>
      </c>
      <c r="H79" s="60">
        <f t="shared" si="1"/>
        <v>318</v>
      </c>
      <c r="I79" s="62">
        <v>18</v>
      </c>
    </row>
    <row r="80" spans="1:9" ht="20.25" customHeight="1" x14ac:dyDescent="0.3">
      <c r="A80" s="31">
        <v>74</v>
      </c>
      <c r="B80" s="6">
        <v>46112</v>
      </c>
      <c r="C80" s="7" t="s">
        <v>730</v>
      </c>
      <c r="D80" s="7" t="s">
        <v>12</v>
      </c>
      <c r="E80" s="7" t="s">
        <v>41</v>
      </c>
      <c r="F80" s="21">
        <v>800</v>
      </c>
      <c r="G80" s="8">
        <v>0</v>
      </c>
      <c r="H80" s="60">
        <f t="shared" si="1"/>
        <v>800</v>
      </c>
      <c r="I80" s="62">
        <v>0</v>
      </c>
    </row>
    <row r="81" spans="1:9" ht="21" x14ac:dyDescent="0.25">
      <c r="A81" s="22" t="s">
        <v>15</v>
      </c>
      <c r="B81" s="18">
        <v>74</v>
      </c>
      <c r="C81" s="23"/>
      <c r="D81" s="15"/>
      <c r="E81" s="15"/>
      <c r="F81" s="19">
        <f>SUM(F7:F80)</f>
        <v>73380.67</v>
      </c>
      <c r="G81" s="16">
        <f>SUM(G7:G80)</f>
        <v>8000</v>
      </c>
      <c r="H81" s="17">
        <f>SUM(H7:H80)</f>
        <v>65380.670000000006</v>
      </c>
      <c r="I81" s="55">
        <f>SUM(I7:I80)</f>
        <v>3325.6899999999996</v>
      </c>
    </row>
    <row r="82" spans="1:9" ht="8.25" customHeight="1" x14ac:dyDescent="0.25">
      <c r="A82" s="2"/>
      <c r="B82" s="11"/>
      <c r="C82" s="11"/>
      <c r="D82" s="12"/>
      <c r="E82" s="12"/>
      <c r="F82" s="13"/>
      <c r="G82" s="14"/>
      <c r="H82" s="10"/>
    </row>
    <row r="83" spans="1:9" hidden="1" x14ac:dyDescent="0.25">
      <c r="A83" s="2"/>
      <c r="B83" s="11"/>
      <c r="C83" s="11"/>
      <c r="D83" s="12"/>
      <c r="E83" s="12"/>
      <c r="F83" s="13"/>
      <c r="G83" s="14"/>
      <c r="H83" s="10"/>
    </row>
    <row r="84" spans="1:9" ht="11.25" customHeight="1" x14ac:dyDescent="0.25"/>
    <row r="86" spans="1:9" x14ac:dyDescent="0.25">
      <c r="D86" s="26" t="s">
        <v>76</v>
      </c>
      <c r="E86" s="27">
        <f>H81</f>
        <v>65380.670000000006</v>
      </c>
      <c r="F86" s="68" t="s">
        <v>97</v>
      </c>
      <c r="G86" s="68"/>
      <c r="H86" s="28"/>
    </row>
    <row r="87" spans="1:9" x14ac:dyDescent="0.25">
      <c r="D87" s="26" t="s">
        <v>517</v>
      </c>
      <c r="E87" s="27">
        <f>I81</f>
        <v>3325.6899999999996</v>
      </c>
      <c r="F87" s="24"/>
      <c r="G87" s="24"/>
      <c r="H87" s="28"/>
    </row>
    <row r="88" spans="1:9" x14ac:dyDescent="0.25">
      <c r="D88" s="26" t="s">
        <v>17</v>
      </c>
      <c r="E88" s="27">
        <v>96000</v>
      </c>
      <c r="F88" s="68"/>
      <c r="G88" s="68"/>
      <c r="H88" s="28"/>
    </row>
    <row r="89" spans="1:9" ht="30" customHeight="1" x14ac:dyDescent="0.25">
      <c r="D89" s="26" t="s">
        <v>77</v>
      </c>
      <c r="E89" s="27">
        <f>E86-E87-E88</f>
        <v>-33945.019999999997</v>
      </c>
      <c r="F89" s="70" t="s">
        <v>636</v>
      </c>
      <c r="G89" s="68"/>
      <c r="H89" s="28"/>
    </row>
    <row r="90" spans="1:9" x14ac:dyDescent="0.25">
      <c r="F90" s="65" t="s">
        <v>47</v>
      </c>
      <c r="G90" s="65"/>
      <c r="H90" s="30">
        <f>H86+H89</f>
        <v>0</v>
      </c>
    </row>
    <row r="92" spans="1:9" x14ac:dyDescent="0.25">
      <c r="B92" s="67" t="s">
        <v>78</v>
      </c>
      <c r="C92" s="67"/>
      <c r="D92" s="67" t="s">
        <v>79</v>
      </c>
      <c r="E92" s="67"/>
      <c r="G92" s="25" t="s">
        <v>80</v>
      </c>
    </row>
    <row r="93" spans="1:9" x14ac:dyDescent="0.25">
      <c r="B93" s="29"/>
      <c r="C93" s="29"/>
      <c r="D93" s="29"/>
      <c r="E93" s="29"/>
      <c r="G93" s="25"/>
    </row>
    <row r="95" spans="1:9" x14ac:dyDescent="0.25">
      <c r="B95" s="66" t="s">
        <v>81</v>
      </c>
      <c r="C95" s="66"/>
      <c r="D95" s="66" t="s">
        <v>82</v>
      </c>
      <c r="E95" s="66"/>
      <c r="F95" s="66" t="s">
        <v>83</v>
      </c>
      <c r="G95" s="66"/>
      <c r="H95" s="66"/>
    </row>
    <row r="96" spans="1:9" x14ac:dyDescent="0.25">
      <c r="B96" s="66" t="s">
        <v>86</v>
      </c>
      <c r="C96" s="66"/>
      <c r="D96" s="66" t="s">
        <v>635</v>
      </c>
      <c r="E96" s="66"/>
      <c r="F96" s="66" t="s">
        <v>85</v>
      </c>
      <c r="G96" s="66"/>
      <c r="H96" s="66"/>
    </row>
    <row r="97" spans="2:3" x14ac:dyDescent="0.25">
      <c r="B97" s="69">
        <v>46114</v>
      </c>
      <c r="C97" s="66"/>
    </row>
  </sheetData>
  <mergeCells count="15">
    <mergeCell ref="F95:H95"/>
    <mergeCell ref="B96:C96"/>
    <mergeCell ref="D96:E96"/>
    <mergeCell ref="F96:H96"/>
    <mergeCell ref="A3:D3"/>
    <mergeCell ref="A4:D4"/>
    <mergeCell ref="F86:G86"/>
    <mergeCell ref="F88:G88"/>
    <mergeCell ref="F89:G89"/>
    <mergeCell ref="F90:G90"/>
    <mergeCell ref="B97:C97"/>
    <mergeCell ref="B92:C92"/>
    <mergeCell ref="D92:E92"/>
    <mergeCell ref="B95:C95"/>
    <mergeCell ref="D95:E95"/>
  </mergeCells>
  <pageMargins left="1.3779527559055118" right="0.98425196850393704" top="0.98425196850393704" bottom="0.98425196850393704" header="0.51181102362204722" footer="0.51181102362204722"/>
  <pageSetup paperSize="9" scale="72" fitToHeight="0" orientation="landscape" r:id="rId1"/>
  <rowBreaks count="1" manualBreakCount="1">
    <brk id="32" max="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OCTOBER 2025</vt:lpstr>
      <vt:lpstr>NOVEMBER 2025</vt:lpstr>
      <vt:lpstr>DECEMBER 2025</vt:lpstr>
      <vt:lpstr>JANUARY 2026</vt:lpstr>
      <vt:lpstr>FEB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nurul jannah</cp:lastModifiedBy>
  <cp:lastPrinted>2026-04-02T07:35:27Z</cp:lastPrinted>
  <dcterms:created xsi:type="dcterms:W3CDTF">2024-11-04T09:13:51Z</dcterms:created>
  <dcterms:modified xsi:type="dcterms:W3CDTF">2026-04-23T09:57:13Z</dcterms:modified>
</cp:coreProperties>
</file>